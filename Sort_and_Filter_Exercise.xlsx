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efore &amp; After" sheetId="2" state="visible" r:id="rId4"/>
    <sheet name="Employee Roster" sheetId="3" state="visible" r:id="rId5"/>
    <sheet name="Answer Key" sheetId="4" state="visible" r:id="rId6"/>
  </sheets>
  <definedNames>
    <definedName function="false" hidden="true" localSheetId="2" name="_xlnm._FilterDatabase" vbProcedure="false">'Employee Roster'!$A$1:$H$61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<sst xmlns="http://schemas.openxmlformats.org/spreadsheetml/2006/main" count="625" uniqueCount="283">
  <si>
    <t xml:space="preserve">Chris' Corner: Sort &amp; Filter</t>
  </si>
  <si>
    <t xml:space="preserve">Make a messy list behave in 30 seconds</t>
  </si>
  <si>
    <t xml:space="preserve">Why this matters</t>
  </si>
  <si>
    <t xml:space="preserve">Most of us scroll through long spreadsheets looking for one piece of information, then scroll back up because we lost our place. Sort and Filter fix that. They're two of the most useful features in Excel and they take about 10 seconds to learn.</t>
  </si>
  <si>
    <t xml:space="preserve">The basics</t>
  </si>
  <si>
    <t xml:space="preserve">• Turn it on: Click any cell in your data, then go to the Data tab and click 'Filter'. You'll see little dropdown arrows appear on every column header.</t>
  </si>
  <si>
    <t xml:space="preserve">• Sort: Click the dropdown arrow on any column. Pick 'Sort A to Z' (or smallest to largest for numbers) or 'Sort Z to A'.</t>
  </si>
  <si>
    <t xml:space="preserve">• Filter: Click the dropdown arrow, uncheck '(Select All)', then check only the values you want to see. Everything else hides until you clear the filter.</t>
  </si>
  <si>
    <t xml:space="preserve">• Search inside the filter: Inside the filter dropdown there's a search box. Type a few letters and it narrows your options instantly. Great for long lists.</t>
  </si>
  <si>
    <t xml:space="preserve">• Clear a filter: Click the dropdown arrow on a filtered column and choose 'Clear Filter From...'. The funnel icon shows you which columns are filtered.</t>
  </si>
  <si>
    <t xml:space="preserve">• Sort by multiple columns: Data tab → Sort (the big button, not the filter dropdown). You can add levels like 'sort by Department, then by Salary'.</t>
  </si>
  <si>
    <t xml:space="preserve">Did you know?</t>
  </si>
  <si>
    <t xml:space="preserve">• You can filter by color if you've used cell highlighting. The dropdown has a 'Filter by Color' option.</t>
  </si>
  <si>
    <t xml:space="preserve">• Filter dropdowns on date columns automatically group by year, then month, then day. You can expand a year and check just the months you want.</t>
  </si>
  <si>
    <t xml:space="preserve">• Keyboard shortcut to toggle filters on and off: Ctrl + Shift + L.</t>
  </si>
  <si>
    <t xml:space="preserve">• Sorting only sorts the rows you've selected. If you accidentally select one column instead of the whole table, you'll scramble your data. Always click a single cell inside the data first and let Excel detect the full range.</t>
  </si>
  <si>
    <t xml:space="preserve">Your turn</t>
  </si>
  <si>
    <t xml:space="preserve">Head to the 'Employee Roster' tab. You'll find a fictional company directory with 60 employees. Try the challenges below, then check your work on the 'Answer Key' tab.</t>
  </si>
  <si>
    <t xml:space="preserve">1. Sort the list by Last Name, A to Z.</t>
  </si>
  <si>
    <t xml:space="preserve">2. Filter to show only employees in the Sales department. How many are there?</t>
  </si>
  <si>
    <t xml:space="preserve">3. Find everyone hired in 2023. (Hint: use the Hire Date filter dropdown and expand the year.)</t>
  </si>
  <si>
    <t xml:space="preserve">4. Show only employees with a salary over $75,000. Use the Number Filters → Greater Than option.</t>
  </si>
  <si>
    <t xml:space="preserve">5. Sort by Department (A to Z), then within each department sort by Salary (largest to smallest). You'll need the multi-level Sort button on the Data tab.</t>
  </si>
  <si>
    <t xml:space="preserve">6. Use the search box inside the Last Name filter to find every employee whose last name starts with 'S'.</t>
  </si>
  <si>
    <t xml:space="preserve">7. Show only Remote employees in the Engineering department.</t>
  </si>
  <si>
    <t xml:space="preserve">8. Find everyone whose performance rating is 'Exceeds Expectations' AND whose salary is under $90,000. (Two filters at once.)</t>
  </si>
  <si>
    <t xml:space="preserve">Sorting: Before &amp; After</t>
  </si>
  <si>
    <t xml:space="preserve">Same data, two different stories — see what a single click can do</t>
  </si>
  <si>
    <t xml:space="preserve">Example 1: Find your biggest customers in seconds</t>
  </si>
  <si>
    <t xml:space="preserve">BEFORE — random order, your top customer is buried</t>
  </si>
  <si>
    <t xml:space="preserve">AFTER — sorted by Order Total (largest to smallest)</t>
  </si>
  <si>
    <t xml:space="preserve">Order ID</t>
  </si>
  <si>
    <t xml:space="preserve">Customer</t>
  </si>
  <si>
    <t xml:space="preserve">Region</t>
  </si>
  <si>
    <t xml:space="preserve">Order Date</t>
  </si>
  <si>
    <t xml:space="preserve">Order Total</t>
  </si>
  <si>
    <t xml:space="preserve">ORD-1042</t>
  </si>
  <si>
    <t xml:space="preserve">Riverside Hardware</t>
  </si>
  <si>
    <t xml:space="preserve">Midwest</t>
  </si>
  <si>
    <t xml:space="preserve">03/14/2025</t>
  </si>
  <si>
    <t xml:space="preserve">ORD-1046</t>
  </si>
  <si>
    <t xml:space="preserve">Prairie Trading</t>
  </si>
  <si>
    <t xml:space="preserve">03/16/2025</t>
  </si>
  <si>
    <t xml:space="preserve">ORD-1043</t>
  </si>
  <si>
    <t xml:space="preserve">Coastal Foods Inc.</t>
  </si>
  <si>
    <t xml:space="preserve">West</t>
  </si>
  <si>
    <t xml:space="preserve">03/15/2025</t>
  </si>
  <si>
    <t xml:space="preserve">ORD-1050</t>
  </si>
  <si>
    <t xml:space="preserve">Desert Wholesale</t>
  </si>
  <si>
    <t xml:space="preserve">Mountain</t>
  </si>
  <si>
    <t xml:space="preserve">03/18/2025</t>
  </si>
  <si>
    <t xml:space="preserve">ORD-1044</t>
  </si>
  <si>
    <t xml:space="preserve">Mountain Supply Co.</t>
  </si>
  <si>
    <t xml:space="preserve">ORD-1045</t>
  </si>
  <si>
    <t xml:space="preserve">Sunrise Electronics</t>
  </si>
  <si>
    <t xml:space="preserve">Northeast</t>
  </si>
  <si>
    <t xml:space="preserve">ORD-1048</t>
  </si>
  <si>
    <t xml:space="preserve">Ironwood Manufacturing</t>
  </si>
  <si>
    <t xml:space="preserve">Southeast</t>
  </si>
  <si>
    <t xml:space="preserve">03/17/2025</t>
  </si>
  <si>
    <t xml:space="preserve">ORD-1047</t>
  </si>
  <si>
    <t xml:space="preserve">Bayside Logistics</t>
  </si>
  <si>
    <t xml:space="preserve">ORD-1051</t>
  </si>
  <si>
    <t xml:space="preserve">Lakeside Distributors</t>
  </si>
  <si>
    <t xml:space="preserve">03/19/2025</t>
  </si>
  <si>
    <t xml:space="preserve">ORD-1049</t>
  </si>
  <si>
    <t xml:space="preserve">Northstar Retail</t>
  </si>
  <si>
    <t xml:space="preserve">Takeaway: in the BEFORE table you'd have to eyeball every row to spot the $32,500 order from Prairie Trading. In the AFTER table, your top three customers are right at the top — one click on Order Total → 'Sort Largest to Smallest'.</t>
  </si>
  <si>
    <t xml:space="preserve">Example 2: See what's due next without scanning every row</t>
  </si>
  <si>
    <t xml:space="preserve">BEFORE — entered in the order projects came in</t>
  </si>
  <si>
    <t xml:space="preserve">AFTER — sorted by Due Date (oldest to newest)</t>
  </si>
  <si>
    <t xml:space="preserve">Project</t>
  </si>
  <si>
    <t xml:space="preserve">Owner</t>
  </si>
  <si>
    <t xml:space="preserve">Status</t>
  </si>
  <si>
    <t xml:space="preserve">Priority</t>
  </si>
  <si>
    <t xml:space="preserve">Due Date</t>
  </si>
  <si>
    <t xml:space="preserve">Website Redesign</t>
  </si>
  <si>
    <t xml:space="preserve">Sarah Mitchell</t>
  </si>
  <si>
    <t xml:space="preserve">In Progress</t>
  </si>
  <si>
    <t xml:space="preserve">High</t>
  </si>
  <si>
    <t xml:space="preserve">06/15/2025</t>
  </si>
  <si>
    <t xml:space="preserve">Annual Report Draft</t>
  </si>
  <si>
    <t xml:space="preserve">Priya Patel</t>
  </si>
  <si>
    <t xml:space="preserve">Not Started</t>
  </si>
  <si>
    <t xml:space="preserve">05/05/2025</t>
  </si>
  <si>
    <t xml:space="preserve">Q2 Budget Review</t>
  </si>
  <si>
    <t xml:space="preserve">Marcus Chen</t>
  </si>
  <si>
    <t xml:space="preserve">05/12/2025</t>
  </si>
  <si>
    <t xml:space="preserve">New Hire Onboarding</t>
  </si>
  <si>
    <t xml:space="preserve">Medium</t>
  </si>
  <si>
    <t xml:space="preserve">05/28/2025</t>
  </si>
  <si>
    <t xml:space="preserve">Compliance Audit Prep</t>
  </si>
  <si>
    <t xml:space="preserve">05/20/2025</t>
  </si>
  <si>
    <t xml:space="preserve">Vendor Contract Renewal</t>
  </si>
  <si>
    <t xml:space="preserve">David Foster</t>
  </si>
  <si>
    <t xml:space="preserve">On Hold</t>
  </si>
  <si>
    <t xml:space="preserve">07/01/2025</t>
  </si>
  <si>
    <t xml:space="preserve">Software Migration</t>
  </si>
  <si>
    <t xml:space="preserve">06/01/2025</t>
  </si>
  <si>
    <t xml:space="preserve">Customer Survey Launch</t>
  </si>
  <si>
    <t xml:space="preserve">Lina Alvarez</t>
  </si>
  <si>
    <t xml:space="preserve">Low</t>
  </si>
  <si>
    <t xml:space="preserve">06/30/2025</t>
  </si>
  <si>
    <t xml:space="preserve">Office Move Logistics</t>
  </si>
  <si>
    <t xml:space="preserve">08/15/2025</t>
  </si>
  <si>
    <t xml:space="preserve">Team Training Session</t>
  </si>
  <si>
    <t xml:space="preserve">07/22/2025</t>
  </si>
  <si>
    <t xml:space="preserve">Takeaway: dates are the trickiest column to scan visually because your eye doesn't naturally compare months and years. Sorting by Due Date instantly shows the Annual Report (5/5) is up next, not the Website Redesign that happens to be at the top.</t>
  </si>
  <si>
    <t xml:space="preserve">One-click sorting</t>
  </si>
  <si>
    <t xml:space="preserve">Both transformations above were a single click each: turn on filters (Data tab → Filter), click the dropdown arrow on the column you care about, and pick Sort Largest to Smallest or Oldest to Newest. The whole row moves with the sort — your data stays intact.</t>
  </si>
  <si>
    <t xml:space="preserve">Employee ID</t>
  </si>
  <si>
    <t xml:space="preserve">First Name</t>
  </si>
  <si>
    <t xml:space="preserve">Last Name</t>
  </si>
  <si>
    <t xml:space="preserve">Department</t>
  </si>
  <si>
    <t xml:space="preserve">Location</t>
  </si>
  <si>
    <t xml:space="preserve">Hire Date</t>
  </si>
  <si>
    <t xml:space="preserve">Salary</t>
  </si>
  <si>
    <t xml:space="preserve">Performance Rating</t>
  </si>
  <si>
    <t xml:space="preserve">E1001</t>
  </si>
  <si>
    <t xml:space="preserve">Kenneth</t>
  </si>
  <si>
    <t xml:space="preserve">Davis</t>
  </si>
  <si>
    <t xml:space="preserve">Sales</t>
  </si>
  <si>
    <t xml:space="preserve">Remote</t>
  </si>
  <si>
    <t xml:space="preserve">Exceeds Expectations</t>
  </si>
  <si>
    <t xml:space="preserve">E1002</t>
  </si>
  <si>
    <t xml:space="preserve">Deborah</t>
  </si>
  <si>
    <t xml:space="preserve">Wright</t>
  </si>
  <si>
    <t xml:space="preserve">E1003</t>
  </si>
  <si>
    <t xml:space="preserve">Joshua</t>
  </si>
  <si>
    <t xml:space="preserve">Johnson</t>
  </si>
  <si>
    <t xml:space="preserve">Human Resources</t>
  </si>
  <si>
    <t xml:space="preserve">Headquarters</t>
  </si>
  <si>
    <t xml:space="preserve">Meets Expectations</t>
  </si>
  <si>
    <t xml:space="preserve">E1004</t>
  </si>
  <si>
    <t xml:space="preserve">Rebecca</t>
  </si>
  <si>
    <t xml:space="preserve">Smith</t>
  </si>
  <si>
    <t xml:space="preserve">Customer Support</t>
  </si>
  <si>
    <t xml:space="preserve">Branch Office</t>
  </si>
  <si>
    <t xml:space="preserve">E1005</t>
  </si>
  <si>
    <t xml:space="preserve">Edward</t>
  </si>
  <si>
    <t xml:space="preserve">Perez</t>
  </si>
  <si>
    <t xml:space="preserve">E1006</t>
  </si>
  <si>
    <t xml:space="preserve">Williams</t>
  </si>
  <si>
    <t xml:space="preserve">Operations</t>
  </si>
  <si>
    <t xml:space="preserve">E1007</t>
  </si>
  <si>
    <t xml:space="preserve">Flores</t>
  </si>
  <si>
    <t xml:space="preserve">E1008</t>
  </si>
  <si>
    <t xml:space="preserve">Stephanie</t>
  </si>
  <si>
    <t xml:space="preserve">Jackson</t>
  </si>
  <si>
    <t xml:space="preserve">E1009</t>
  </si>
  <si>
    <t xml:space="preserve">Lisa</t>
  </si>
  <si>
    <t xml:space="preserve">Hernandez</t>
  </si>
  <si>
    <t xml:space="preserve">Marketing</t>
  </si>
  <si>
    <t xml:space="preserve">E1010</t>
  </si>
  <si>
    <t xml:space="preserve">Needs Improvement</t>
  </si>
  <si>
    <t xml:space="preserve">E1011</t>
  </si>
  <si>
    <t xml:space="preserve">Hall</t>
  </si>
  <si>
    <t xml:space="preserve">E1012</t>
  </si>
  <si>
    <t xml:space="preserve">Margaret</t>
  </si>
  <si>
    <t xml:space="preserve">Moore</t>
  </si>
  <si>
    <t xml:space="preserve">E1013</t>
  </si>
  <si>
    <t xml:space="preserve">Adams</t>
  </si>
  <si>
    <t xml:space="preserve">Finance</t>
  </si>
  <si>
    <t xml:space="preserve">E1014</t>
  </si>
  <si>
    <t xml:space="preserve">Nguyen</t>
  </si>
  <si>
    <t xml:space="preserve">E1015</t>
  </si>
  <si>
    <t xml:space="preserve">Jennifer</t>
  </si>
  <si>
    <t xml:space="preserve">Carter</t>
  </si>
  <si>
    <t xml:space="preserve">E1016</t>
  </si>
  <si>
    <t xml:space="preserve">Jones</t>
  </si>
  <si>
    <t xml:space="preserve">E1017</t>
  </si>
  <si>
    <t xml:space="preserve">James</t>
  </si>
  <si>
    <t xml:space="preserve">Baker</t>
  </si>
  <si>
    <t xml:space="preserve">E1018</t>
  </si>
  <si>
    <t xml:space="preserve">Charles</t>
  </si>
  <si>
    <t xml:space="preserve">Ramirez</t>
  </si>
  <si>
    <t xml:space="preserve">Engineering</t>
  </si>
  <si>
    <t xml:space="preserve">E1019</t>
  </si>
  <si>
    <t xml:space="preserve">Michael</t>
  </si>
  <si>
    <t xml:space="preserve">Green</t>
  </si>
  <si>
    <t xml:space="preserve">E1020</t>
  </si>
  <si>
    <t xml:space="preserve">William</t>
  </si>
  <si>
    <t xml:space="preserve">E1021</t>
  </si>
  <si>
    <t xml:space="preserve">Kathleen</t>
  </si>
  <si>
    <t xml:space="preserve">White</t>
  </si>
  <si>
    <t xml:space="preserve">E1022</t>
  </si>
  <si>
    <t xml:space="preserve">Campbell</t>
  </si>
  <si>
    <t xml:space="preserve">E1023</t>
  </si>
  <si>
    <t xml:space="preserve">Emily</t>
  </si>
  <si>
    <t xml:space="preserve">E1024</t>
  </si>
  <si>
    <t xml:space="preserve">Brian</t>
  </si>
  <si>
    <t xml:space="preserve">Gonzalez</t>
  </si>
  <si>
    <t xml:space="preserve">E1025</t>
  </si>
  <si>
    <t xml:space="preserve">Joseph</t>
  </si>
  <si>
    <t xml:space="preserve">E1026</t>
  </si>
  <si>
    <t xml:space="preserve">Melissa</t>
  </si>
  <si>
    <t xml:space="preserve">E1027</t>
  </si>
  <si>
    <t xml:space="preserve">Kevin</t>
  </si>
  <si>
    <t xml:space="preserve">Young</t>
  </si>
  <si>
    <t xml:space="preserve">E1028</t>
  </si>
  <si>
    <t xml:space="preserve">Clark</t>
  </si>
  <si>
    <t xml:space="preserve">E1029</t>
  </si>
  <si>
    <t xml:space="preserve">George</t>
  </si>
  <si>
    <t xml:space="preserve">Brown</t>
  </si>
  <si>
    <t xml:space="preserve">E1030</t>
  </si>
  <si>
    <t xml:space="preserve">Sharon</t>
  </si>
  <si>
    <t xml:space="preserve">Miller</t>
  </si>
  <si>
    <t xml:space="preserve">E1031</t>
  </si>
  <si>
    <t xml:space="preserve">Sandra</t>
  </si>
  <si>
    <t xml:space="preserve">Thomas</t>
  </si>
  <si>
    <t xml:space="preserve">E1032</t>
  </si>
  <si>
    <t xml:space="preserve">Paul</t>
  </si>
  <si>
    <t xml:space="preserve">Stevens</t>
  </si>
  <si>
    <t xml:space="preserve">E1033</t>
  </si>
  <si>
    <t xml:space="preserve">Sanchez</t>
  </si>
  <si>
    <t xml:space="preserve">E1034</t>
  </si>
  <si>
    <t xml:space="preserve">E1035</t>
  </si>
  <si>
    <t xml:space="preserve">Patricia</t>
  </si>
  <si>
    <t xml:space="preserve">E1036</t>
  </si>
  <si>
    <t xml:space="preserve">Ryan</t>
  </si>
  <si>
    <t xml:space="preserve">Spencer</t>
  </si>
  <si>
    <t xml:space="preserve">E1037</t>
  </si>
  <si>
    <t xml:space="preserve">John</t>
  </si>
  <si>
    <t xml:space="preserve">E1038</t>
  </si>
  <si>
    <t xml:space="preserve">Anthony</t>
  </si>
  <si>
    <t xml:space="preserve">Nelson</t>
  </si>
  <si>
    <t xml:space="preserve">E1039</t>
  </si>
  <si>
    <t xml:space="preserve">Jessica</t>
  </si>
  <si>
    <t xml:space="preserve">Taylor</t>
  </si>
  <si>
    <t xml:space="preserve">E1040</t>
  </si>
  <si>
    <t xml:space="preserve">E1041</t>
  </si>
  <si>
    <t xml:space="preserve">Rodriguez</t>
  </si>
  <si>
    <t xml:space="preserve">E1042</t>
  </si>
  <si>
    <t xml:space="preserve">Rivera</t>
  </si>
  <si>
    <t xml:space="preserve">E1043</t>
  </si>
  <si>
    <t xml:space="preserve">E1044</t>
  </si>
  <si>
    <t xml:space="preserve">Wilson</t>
  </si>
  <si>
    <t xml:space="preserve">E1045</t>
  </si>
  <si>
    <t xml:space="preserve">Jason</t>
  </si>
  <si>
    <t xml:space="preserve">E1046</t>
  </si>
  <si>
    <t xml:space="preserve">E1047</t>
  </si>
  <si>
    <t xml:space="preserve">Jeffrey</t>
  </si>
  <si>
    <t xml:space="preserve">E1048</t>
  </si>
  <si>
    <t xml:space="preserve">Robert</t>
  </si>
  <si>
    <t xml:space="preserve">Martin</t>
  </si>
  <si>
    <t xml:space="preserve">E1049</t>
  </si>
  <si>
    <t xml:space="preserve">Thompson</t>
  </si>
  <si>
    <t xml:space="preserve">E1050</t>
  </si>
  <si>
    <t xml:space="preserve">E1051</t>
  </si>
  <si>
    <t xml:space="preserve">Sanders</t>
  </si>
  <si>
    <t xml:space="preserve">E1052</t>
  </si>
  <si>
    <t xml:space="preserve">Matthew</t>
  </si>
  <si>
    <t xml:space="preserve">E1053</t>
  </si>
  <si>
    <t xml:space="preserve">Anderson</t>
  </si>
  <si>
    <t xml:space="preserve">E1054</t>
  </si>
  <si>
    <t xml:space="preserve">E1055</t>
  </si>
  <si>
    <t xml:space="preserve">Mary</t>
  </si>
  <si>
    <t xml:space="preserve">E1056</t>
  </si>
  <si>
    <t xml:space="preserve">Stewart</t>
  </si>
  <si>
    <t xml:space="preserve">E1057</t>
  </si>
  <si>
    <t xml:space="preserve">E1058</t>
  </si>
  <si>
    <t xml:space="preserve">E1059</t>
  </si>
  <si>
    <t xml:space="preserve">E1060</t>
  </si>
  <si>
    <t xml:space="preserve">David</t>
  </si>
  <si>
    <t xml:space="preserve">Answer Key</t>
  </si>
  <si>
    <t xml:space="preserve">Don't peek until you've tried! Some answers will be exact counts you can verify with the formulas below.</t>
  </si>
  <si>
    <t xml:space="preserve">1. Sort by Last Name A to Z</t>
  </si>
  <si>
    <t xml:space="preserve">Easy check: the first row should be the employee whose last name starts with 'A' (or earliest alphabetically).</t>
  </si>
  <si>
    <t xml:space="preserve">2. Sales department count</t>
  </si>
  <si>
    <t xml:space="preserve">Number of Sales employees:</t>
  </si>
  <si>
    <t xml:space="preserve">3. Hired in 2023</t>
  </si>
  <si>
    <t xml:space="preserve">Number of employees hired in 2023:</t>
  </si>
  <si>
    <t xml:space="preserve">4. Salary over $75,000</t>
  </si>
  <si>
    <t xml:space="preserve">Number of employees with salary &gt; $75,000:</t>
  </si>
  <si>
    <t xml:space="preserve">5. Sort by Department, then Salary (largest to smallest)</t>
  </si>
  <si>
    <t xml:space="preserve">Sales should appear before Engineering (alphabetical), and within each department the highest-paid person should be at the top of that group.</t>
  </si>
  <si>
    <t xml:space="preserve">6. Last names starting with 'S'</t>
  </si>
  <si>
    <t xml:space="preserve">Number of employees whose last name starts with 'S':</t>
  </si>
  <si>
    <t xml:space="preserve">7. Remote Engineering employees</t>
  </si>
  <si>
    <t xml:space="preserve">Number of Remote employees in Engineering:</t>
  </si>
  <si>
    <t xml:space="preserve">8. Exceeds Expectations AND salary under $90,000</t>
  </si>
  <si>
    <t xml:space="preserve">Number of employees who Exceed Expectations and earn under $90,000:</t>
  </si>
  <si>
    <t xml:space="preserve">Pro tip: every count above uses COUNTIF or COUNTIFS — same logic as filters, just in formula form. If your filtered count matches the number here, you nailed it.</t>
  </si>
</sst>
</file>

<file path=xl/styles.xml><?xml version="1.0" encoding="utf-8"?>
<styleSheet xmlns="http://schemas.openxmlformats.org/spreadsheetml/2006/main">
  <numFmts count="5">
    <numFmt numFmtId="164" formatCode="General"/>
    <numFmt numFmtId="165" formatCode="\$#,##0"/>
    <numFmt numFmtId="166" formatCode="mm/dd/yyyy"/>
    <numFmt numFmtId="167" formatCode="\$#,##0"/>
    <numFmt numFmtId="168" formatCode="General"/>
  </numFmts>
  <fonts count="17">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2"/>
      <color rgb="FFFFFFFF"/>
      <name val="Arial"/>
      <family val="0"/>
      <charset val="1"/>
    </font>
    <font>
      <b val="true"/>
      <sz val="14"/>
      <color rgb="FF1F3A5F"/>
      <name val="Arial"/>
      <family val="0"/>
      <charset val="1"/>
    </font>
    <font>
      <sz val="11"/>
      <color rgb="FF333333"/>
      <name val="Arial"/>
      <family val="0"/>
      <charset val="1"/>
    </font>
    <font>
      <i val="true"/>
      <sz val="11"/>
      <color rgb="FF2E7D5B"/>
      <name val="Arial"/>
      <family val="0"/>
      <charset val="1"/>
    </font>
    <font>
      <b val="true"/>
      <sz val="11"/>
      <color rgb="FF1F3A5F"/>
      <name val="Arial"/>
      <family val="0"/>
      <charset val="1"/>
    </font>
    <font>
      <b val="true"/>
      <sz val="11"/>
      <color rgb="FFC62828"/>
      <name val="Arial"/>
      <family val="0"/>
      <charset val="1"/>
    </font>
    <font>
      <b val="true"/>
      <sz val="11"/>
      <color rgb="FF2E7D5B"/>
      <name val="Arial"/>
      <family val="0"/>
      <charset val="1"/>
    </font>
    <font>
      <b val="true"/>
      <sz val="11"/>
      <color rgb="FFFFFFFF"/>
      <name val="Arial"/>
      <family val="0"/>
      <charset val="1"/>
    </font>
    <font>
      <sz val="10"/>
      <color rgb="FF333333"/>
      <name val="Arial"/>
      <family val="0"/>
      <charset val="1"/>
    </font>
    <font>
      <sz val="10"/>
      <name val="Arial"/>
      <family val="0"/>
      <charset val="1"/>
    </font>
    <font>
      <b val="true"/>
      <sz val="12"/>
      <color rgb="FF1F3A5F"/>
      <name val="Arial"/>
      <family val="0"/>
      <charset val="1"/>
    </font>
    <font>
      <b val="true"/>
      <sz val="14"/>
      <color rgb="FF2E7D5B"/>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2F2F2"/>
        <bgColor rgb="FFE8F5E9"/>
      </patternFill>
    </fill>
    <fill>
      <patternFill patternType="solid">
        <fgColor rgb="FFC62828"/>
        <bgColor rgb="FF993366"/>
      </patternFill>
    </fill>
    <fill>
      <patternFill patternType="solid">
        <fgColor rgb="FF2E7D5B"/>
        <bgColor rgb="FF008080"/>
      </patternFill>
    </fill>
    <fill>
      <patternFill patternType="solid">
        <fgColor rgb="FFFBE9E7"/>
        <bgColor rgb="FFF2F2F2"/>
      </patternFill>
    </fill>
    <fill>
      <patternFill patternType="solid">
        <fgColor rgb="FFE8F5E9"/>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9" fillId="0" borderId="0" xfId="0" applyFont="true" applyBorder="false" applyAlignment="true" applyProtection="false">
      <alignment horizontal="general" vertical="top" textRotation="0" wrapText="tru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bottom" textRotation="0" wrapText="false" indent="1"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5" fontId="13" fillId="6" borderId="1" xfId="0" applyFont="true" applyBorder="true" applyAlignment="true" applyProtection="false">
      <alignment horizontal="right" vertical="bottom" textRotation="0" wrapText="false" indent="0" shrinkToFit="false"/>
      <protection locked="true" hidden="false"/>
    </xf>
    <xf numFmtId="164" fontId="13" fillId="7" borderId="1" xfId="0" applyFont="true" applyBorder="true" applyAlignment="true" applyProtection="false">
      <alignment horizontal="left" vertical="bottom" textRotation="0" wrapText="false" indent="1" shrinkToFit="false"/>
      <protection locked="true" hidden="false"/>
    </xf>
    <xf numFmtId="164" fontId="13" fillId="7" borderId="1" xfId="0" applyFont="true" applyBorder="true" applyAlignment="true" applyProtection="false">
      <alignment horizontal="center" vertical="bottom" textRotation="0" wrapText="false" indent="0" shrinkToFit="false"/>
      <protection locked="true" hidden="false"/>
    </xf>
    <xf numFmtId="165" fontId="13" fillId="7"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BE9E7"/>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2E7D5B"/>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s>
  <sheetData>
    <row r="1" customFormat="false" ht="30" hidden="false" customHeight="true" outlineLevel="0" collapsed="false">
      <c r="A1" s="2" t="s">
        <v>0</v>
      </c>
      <c r="B1" s="2"/>
    </row>
    <row r="2" customFormat="false" ht="19.5" hidden="false" customHeight="true" outlineLevel="0" collapsed="false">
      <c r="A2" s="2"/>
      <c r="B2" s="2"/>
    </row>
    <row r="3" customFormat="false" ht="21.75" hidden="false" customHeight="true" outlineLevel="0" collapsed="false">
      <c r="A3" s="3" t="s">
        <v>1</v>
      </c>
      <c r="B3" s="3"/>
    </row>
    <row r="5" customFormat="false" ht="17.25" hidden="false" customHeight="true" outlineLevel="0" collapsed="false">
      <c r="B5" s="4" t="s">
        <v>2</v>
      </c>
    </row>
    <row r="6" customFormat="false" ht="49.5" hidden="false" customHeight="true" outlineLevel="0" collapsed="false">
      <c r="B6" s="5" t="s">
        <v>3</v>
      </c>
    </row>
    <row r="8" customFormat="false" ht="17.25" hidden="false" customHeight="true" outlineLevel="0" collapsed="false">
      <c r="B8" s="4" t="s">
        <v>4</v>
      </c>
    </row>
    <row r="9" customFormat="false" ht="36" hidden="false" customHeight="true" outlineLevel="0" collapsed="false">
      <c r="B9" s="6" t="s">
        <v>5</v>
      </c>
    </row>
    <row r="10" customFormat="false" ht="36" hidden="false" customHeight="true" outlineLevel="0" collapsed="false">
      <c r="B10" s="6" t="s">
        <v>6</v>
      </c>
    </row>
    <row r="11" customFormat="false" ht="36" hidden="false" customHeight="true" outlineLevel="0" collapsed="false">
      <c r="B11" s="6" t="s">
        <v>7</v>
      </c>
    </row>
    <row r="12" customFormat="false" ht="36" hidden="false" customHeight="true" outlineLevel="0" collapsed="false">
      <c r="B12" s="6" t="s">
        <v>8</v>
      </c>
    </row>
    <row r="13" customFormat="false" ht="36" hidden="false" customHeight="true" outlineLevel="0" collapsed="false">
      <c r="B13" s="6" t="s">
        <v>9</v>
      </c>
    </row>
    <row r="14" customFormat="false" ht="36" hidden="false" customHeight="true" outlineLevel="0" collapsed="false">
      <c r="B14" s="6" t="s">
        <v>10</v>
      </c>
    </row>
    <row r="16" customFormat="false" ht="17.25" hidden="false" customHeight="true" outlineLevel="0" collapsed="false">
      <c r="B16" s="4" t="s">
        <v>11</v>
      </c>
    </row>
    <row r="17" customFormat="false" ht="31.5" hidden="false" customHeight="true" outlineLevel="0" collapsed="false">
      <c r="B17" s="7" t="s">
        <v>12</v>
      </c>
    </row>
    <row r="18" customFormat="false" ht="31.5" hidden="false" customHeight="true" outlineLevel="0" collapsed="false">
      <c r="B18" s="7" t="s">
        <v>13</v>
      </c>
    </row>
    <row r="19" customFormat="false" ht="31.5" hidden="false" customHeight="true" outlineLevel="0" collapsed="false">
      <c r="B19" s="7" t="s">
        <v>14</v>
      </c>
    </row>
    <row r="20" customFormat="false" ht="31.5" hidden="false" customHeight="true" outlineLevel="0" collapsed="false">
      <c r="B20" s="7" t="s">
        <v>15</v>
      </c>
    </row>
    <row r="22" customFormat="false" ht="17.25" hidden="false" customHeight="true" outlineLevel="0" collapsed="false">
      <c r="B22" s="4" t="s">
        <v>16</v>
      </c>
    </row>
    <row r="23" customFormat="false" ht="39.75" hidden="false" customHeight="true" outlineLevel="0" collapsed="false">
      <c r="B23" s="5" t="s">
        <v>17</v>
      </c>
    </row>
    <row r="25" customFormat="false" ht="31.5" hidden="false" customHeight="true" outlineLevel="0" collapsed="false">
      <c r="B25" s="8" t="s">
        <v>18</v>
      </c>
    </row>
    <row r="26" customFormat="false" ht="31.5" hidden="false" customHeight="true" outlineLevel="0" collapsed="false">
      <c r="B26" s="8" t="s">
        <v>19</v>
      </c>
    </row>
    <row r="27" customFormat="false" ht="31.5" hidden="false" customHeight="true" outlineLevel="0" collapsed="false">
      <c r="B27" s="8" t="s">
        <v>20</v>
      </c>
    </row>
    <row r="28" customFormat="false" ht="31.5" hidden="false" customHeight="true" outlineLevel="0" collapsed="false">
      <c r="B28" s="8" t="s">
        <v>21</v>
      </c>
    </row>
    <row r="29" customFormat="false" ht="31.5" hidden="false" customHeight="true" outlineLevel="0" collapsed="false">
      <c r="B29" s="8" t="s">
        <v>22</v>
      </c>
    </row>
    <row r="30" customFormat="false" ht="31.5" hidden="false" customHeight="true" outlineLevel="0" collapsed="false">
      <c r="B30" s="8" t="s">
        <v>23</v>
      </c>
    </row>
    <row r="31" customFormat="false" ht="31.5" hidden="false" customHeight="true" outlineLevel="0" collapsed="false">
      <c r="B31" s="8" t="s">
        <v>24</v>
      </c>
    </row>
    <row r="32" customFormat="false" ht="31.5" hidden="false" customHeight="true" outlineLevel="0" collapsed="false">
      <c r="B32" s="8" t="s">
        <v>25</v>
      </c>
    </row>
  </sheetData>
  <mergeCells count="2">
    <mergeCell ref="A1:B2"/>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2"/>
    <col collapsed="false" customWidth="true" hidden="false" outlineLevel="0" max="4" min="4" style="0" width="12"/>
    <col collapsed="false" customWidth="true" hidden="false" outlineLevel="0" max="6" min="5" style="0" width="14"/>
    <col collapsed="false" customWidth="true" hidden="false" outlineLevel="0" max="7" min="7" style="0" width="4"/>
    <col collapsed="false" customWidth="true" hidden="false" outlineLevel="0" max="8" min="8" style="0" width="14"/>
    <col collapsed="false" customWidth="true" hidden="false" outlineLevel="0" max="9" min="9" style="0" width="22"/>
    <col collapsed="false" customWidth="true" hidden="false" outlineLevel="0" max="10" min="10" style="0" width="12"/>
    <col collapsed="false" customWidth="true" hidden="false" outlineLevel="0" max="12" min="11" style="0" width="14"/>
  </cols>
  <sheetData>
    <row r="1" customFormat="false" ht="27.75" hidden="false" customHeight="true" outlineLevel="0" collapsed="false">
      <c r="A1" s="2" t="s">
        <v>26</v>
      </c>
      <c r="B1" s="2"/>
      <c r="C1" s="2"/>
      <c r="D1" s="2"/>
      <c r="E1" s="2"/>
      <c r="F1" s="2"/>
      <c r="G1" s="2"/>
      <c r="H1" s="2"/>
      <c r="I1" s="2"/>
      <c r="J1" s="2"/>
      <c r="K1" s="2"/>
      <c r="L1" s="2"/>
    </row>
    <row r="2" customFormat="false" ht="15.75" hidden="false" customHeight="true" outlineLevel="0" collapsed="false">
      <c r="A2" s="2"/>
      <c r="B2" s="2"/>
      <c r="C2" s="2"/>
      <c r="D2" s="2"/>
      <c r="E2" s="2"/>
      <c r="F2" s="2"/>
      <c r="G2" s="2"/>
      <c r="H2" s="2"/>
      <c r="I2" s="2"/>
      <c r="J2" s="2"/>
      <c r="K2" s="2"/>
      <c r="L2" s="2"/>
    </row>
    <row r="3" customFormat="false" ht="21.75" hidden="false" customHeight="true" outlineLevel="0" collapsed="false">
      <c r="A3" s="3" t="s">
        <v>27</v>
      </c>
      <c r="B3" s="3"/>
      <c r="C3" s="3"/>
      <c r="D3" s="3"/>
      <c r="E3" s="3"/>
      <c r="F3" s="3"/>
      <c r="G3" s="3"/>
      <c r="H3" s="3"/>
      <c r="I3" s="3"/>
      <c r="J3" s="3"/>
      <c r="K3" s="3"/>
      <c r="L3" s="3"/>
    </row>
    <row r="5" customFormat="false" ht="24" hidden="false" customHeight="true" outlineLevel="0" collapsed="false">
      <c r="B5" s="9" t="s">
        <v>28</v>
      </c>
      <c r="C5" s="9"/>
      <c r="D5" s="9"/>
      <c r="E5" s="9"/>
      <c r="F5" s="9"/>
      <c r="G5" s="9"/>
      <c r="H5" s="9"/>
      <c r="I5" s="9"/>
      <c r="J5" s="9"/>
      <c r="K5" s="9"/>
      <c r="L5" s="9"/>
    </row>
    <row r="6" customFormat="false" ht="15" hidden="false" customHeight="false" outlineLevel="0" collapsed="false">
      <c r="B6" s="10" t="s">
        <v>29</v>
      </c>
      <c r="C6" s="10"/>
      <c r="D6" s="10"/>
      <c r="E6" s="10"/>
      <c r="F6" s="10"/>
      <c r="H6" s="11" t="s">
        <v>30</v>
      </c>
      <c r="I6" s="11"/>
      <c r="J6" s="11"/>
      <c r="K6" s="11"/>
      <c r="L6" s="11"/>
    </row>
    <row r="7" customFormat="false" ht="21.75" hidden="false" customHeight="true" outlineLevel="0" collapsed="false">
      <c r="B7" s="12" t="s">
        <v>31</v>
      </c>
      <c r="C7" s="12" t="s">
        <v>32</v>
      </c>
      <c r="D7" s="12" t="s">
        <v>33</v>
      </c>
      <c r="E7" s="12" t="s">
        <v>34</v>
      </c>
      <c r="F7" s="12" t="s">
        <v>35</v>
      </c>
      <c r="H7" s="13" t="s">
        <v>31</v>
      </c>
      <c r="I7" s="13" t="s">
        <v>32</v>
      </c>
      <c r="J7" s="13" t="s">
        <v>33</v>
      </c>
      <c r="K7" s="13" t="s">
        <v>34</v>
      </c>
      <c r="L7" s="13" t="s">
        <v>35</v>
      </c>
    </row>
    <row r="8" customFormat="false" ht="15" hidden="false" customHeight="false" outlineLevel="0" collapsed="false">
      <c r="B8" s="14" t="s">
        <v>36</v>
      </c>
      <c r="C8" s="14" t="s">
        <v>37</v>
      </c>
      <c r="D8" s="14" t="s">
        <v>38</v>
      </c>
      <c r="E8" s="15" t="s">
        <v>39</v>
      </c>
      <c r="F8" s="16" t="n">
        <v>4250</v>
      </c>
      <c r="H8" s="17" t="s">
        <v>40</v>
      </c>
      <c r="I8" s="17" t="s">
        <v>41</v>
      </c>
      <c r="J8" s="17" t="s">
        <v>38</v>
      </c>
      <c r="K8" s="18" t="s">
        <v>42</v>
      </c>
      <c r="L8" s="19" t="n">
        <v>32500</v>
      </c>
    </row>
    <row r="9" customFormat="false" ht="15" hidden="false" customHeight="false" outlineLevel="0" collapsed="false">
      <c r="B9" s="14" t="s">
        <v>43</v>
      </c>
      <c r="C9" s="14" t="s">
        <v>44</v>
      </c>
      <c r="D9" s="14" t="s">
        <v>45</v>
      </c>
      <c r="E9" s="15" t="s">
        <v>46</v>
      </c>
      <c r="F9" s="16" t="n">
        <v>18900</v>
      </c>
      <c r="H9" s="17" t="s">
        <v>47</v>
      </c>
      <c r="I9" s="17" t="s">
        <v>48</v>
      </c>
      <c r="J9" s="17" t="s">
        <v>49</v>
      </c>
      <c r="K9" s="18" t="s">
        <v>50</v>
      </c>
      <c r="L9" s="19" t="n">
        <v>27800</v>
      </c>
    </row>
    <row r="10" customFormat="false" ht="15" hidden="false" customHeight="false" outlineLevel="0" collapsed="false">
      <c r="B10" s="14" t="s">
        <v>51</v>
      </c>
      <c r="C10" s="14" t="s">
        <v>52</v>
      </c>
      <c r="D10" s="14" t="s">
        <v>49</v>
      </c>
      <c r="E10" s="15" t="s">
        <v>46</v>
      </c>
      <c r="F10" s="16" t="n">
        <v>1875</v>
      </c>
      <c r="H10" s="17" t="s">
        <v>43</v>
      </c>
      <c r="I10" s="17" t="s">
        <v>44</v>
      </c>
      <c r="J10" s="17" t="s">
        <v>45</v>
      </c>
      <c r="K10" s="18" t="s">
        <v>46</v>
      </c>
      <c r="L10" s="19" t="n">
        <v>18900</v>
      </c>
    </row>
    <row r="11" customFormat="false" ht="15" hidden="false" customHeight="false" outlineLevel="0" collapsed="false">
      <c r="B11" s="14" t="s">
        <v>53</v>
      </c>
      <c r="C11" s="14" t="s">
        <v>54</v>
      </c>
      <c r="D11" s="14" t="s">
        <v>55</v>
      </c>
      <c r="E11" s="15" t="s">
        <v>42</v>
      </c>
      <c r="F11" s="16" t="n">
        <v>9420</v>
      </c>
      <c r="H11" s="17" t="s">
        <v>56</v>
      </c>
      <c r="I11" s="17" t="s">
        <v>57</v>
      </c>
      <c r="J11" s="17" t="s">
        <v>58</v>
      </c>
      <c r="K11" s="18" t="s">
        <v>59</v>
      </c>
      <c r="L11" s="19" t="n">
        <v>14200</v>
      </c>
    </row>
    <row r="12" customFormat="false" ht="15" hidden="false" customHeight="false" outlineLevel="0" collapsed="false">
      <c r="B12" s="14" t="s">
        <v>40</v>
      </c>
      <c r="C12" s="14" t="s">
        <v>41</v>
      </c>
      <c r="D12" s="14" t="s">
        <v>38</v>
      </c>
      <c r="E12" s="15" t="s">
        <v>42</v>
      </c>
      <c r="F12" s="16" t="n">
        <v>32500</v>
      </c>
      <c r="H12" s="17" t="s">
        <v>53</v>
      </c>
      <c r="I12" s="17" t="s">
        <v>54</v>
      </c>
      <c r="J12" s="17" t="s">
        <v>55</v>
      </c>
      <c r="K12" s="18" t="s">
        <v>42</v>
      </c>
      <c r="L12" s="19" t="n">
        <v>9420</v>
      </c>
    </row>
    <row r="13" customFormat="false" ht="15" hidden="false" customHeight="false" outlineLevel="0" collapsed="false">
      <c r="B13" s="14" t="s">
        <v>60</v>
      </c>
      <c r="C13" s="14" t="s">
        <v>61</v>
      </c>
      <c r="D13" s="14" t="s">
        <v>45</v>
      </c>
      <c r="E13" s="15" t="s">
        <v>59</v>
      </c>
      <c r="F13" s="16" t="n">
        <v>6780</v>
      </c>
      <c r="H13" s="17" t="s">
        <v>60</v>
      </c>
      <c r="I13" s="17" t="s">
        <v>61</v>
      </c>
      <c r="J13" s="17" t="s">
        <v>45</v>
      </c>
      <c r="K13" s="18" t="s">
        <v>59</v>
      </c>
      <c r="L13" s="19" t="n">
        <v>6780</v>
      </c>
    </row>
    <row r="14" customFormat="false" ht="15" hidden="false" customHeight="false" outlineLevel="0" collapsed="false">
      <c r="B14" s="14" t="s">
        <v>56</v>
      </c>
      <c r="C14" s="14" t="s">
        <v>57</v>
      </c>
      <c r="D14" s="14" t="s">
        <v>58</v>
      </c>
      <c r="E14" s="15" t="s">
        <v>59</v>
      </c>
      <c r="F14" s="16" t="n">
        <v>14200</v>
      </c>
      <c r="H14" s="17" t="s">
        <v>62</v>
      </c>
      <c r="I14" s="17" t="s">
        <v>63</v>
      </c>
      <c r="J14" s="17" t="s">
        <v>38</v>
      </c>
      <c r="K14" s="18" t="s">
        <v>64</v>
      </c>
      <c r="L14" s="19" t="n">
        <v>5340</v>
      </c>
    </row>
    <row r="15" customFormat="false" ht="15" hidden="false" customHeight="false" outlineLevel="0" collapsed="false">
      <c r="B15" s="14" t="s">
        <v>65</v>
      </c>
      <c r="C15" s="14" t="s">
        <v>66</v>
      </c>
      <c r="D15" s="14" t="s">
        <v>55</v>
      </c>
      <c r="E15" s="15" t="s">
        <v>50</v>
      </c>
      <c r="F15" s="16" t="n">
        <v>2950</v>
      </c>
      <c r="H15" s="17" t="s">
        <v>36</v>
      </c>
      <c r="I15" s="17" t="s">
        <v>37</v>
      </c>
      <c r="J15" s="17" t="s">
        <v>38</v>
      </c>
      <c r="K15" s="18" t="s">
        <v>39</v>
      </c>
      <c r="L15" s="19" t="n">
        <v>4250</v>
      </c>
    </row>
    <row r="16" customFormat="false" ht="15" hidden="false" customHeight="false" outlineLevel="0" collapsed="false">
      <c r="B16" s="14" t="s">
        <v>47</v>
      </c>
      <c r="C16" s="14" t="s">
        <v>48</v>
      </c>
      <c r="D16" s="14" t="s">
        <v>49</v>
      </c>
      <c r="E16" s="15" t="s">
        <v>50</v>
      </c>
      <c r="F16" s="16" t="n">
        <v>27800</v>
      </c>
      <c r="H16" s="17" t="s">
        <v>65</v>
      </c>
      <c r="I16" s="17" t="s">
        <v>66</v>
      </c>
      <c r="J16" s="17" t="s">
        <v>55</v>
      </c>
      <c r="K16" s="18" t="s">
        <v>50</v>
      </c>
      <c r="L16" s="19" t="n">
        <v>2950</v>
      </c>
    </row>
    <row r="17" customFormat="false" ht="15" hidden="false" customHeight="false" outlineLevel="0" collapsed="false">
      <c r="B17" s="14" t="s">
        <v>62</v>
      </c>
      <c r="C17" s="14" t="s">
        <v>63</v>
      </c>
      <c r="D17" s="14" t="s">
        <v>38</v>
      </c>
      <c r="E17" s="15" t="s">
        <v>64</v>
      </c>
      <c r="F17" s="16" t="n">
        <v>5340</v>
      </c>
      <c r="H17" s="17" t="s">
        <v>51</v>
      </c>
      <c r="I17" s="17" t="s">
        <v>52</v>
      </c>
      <c r="J17" s="17" t="s">
        <v>49</v>
      </c>
      <c r="K17" s="18" t="s">
        <v>46</v>
      </c>
      <c r="L17" s="19" t="n">
        <v>1875</v>
      </c>
    </row>
    <row r="19" customFormat="false" ht="39.75" hidden="false" customHeight="true" outlineLevel="0" collapsed="false">
      <c r="B19" s="20" t="s">
        <v>67</v>
      </c>
      <c r="C19" s="20"/>
      <c r="D19" s="20"/>
      <c r="E19" s="20"/>
      <c r="F19" s="20"/>
      <c r="G19" s="20"/>
      <c r="H19" s="20"/>
      <c r="I19" s="20"/>
      <c r="J19" s="20"/>
      <c r="K19" s="20"/>
      <c r="L19" s="20"/>
    </row>
    <row r="21" customFormat="false" ht="24" hidden="false" customHeight="true" outlineLevel="0" collapsed="false">
      <c r="B21" s="9" t="s">
        <v>68</v>
      </c>
      <c r="C21" s="9"/>
      <c r="D21" s="9"/>
      <c r="E21" s="9"/>
      <c r="F21" s="9"/>
      <c r="G21" s="9"/>
      <c r="H21" s="9"/>
      <c r="I21" s="9"/>
      <c r="J21" s="9"/>
      <c r="K21" s="9"/>
      <c r="L21" s="9"/>
    </row>
    <row r="22" customFormat="false" ht="15" hidden="false" customHeight="false" outlineLevel="0" collapsed="false">
      <c r="B22" s="10" t="s">
        <v>69</v>
      </c>
      <c r="C22" s="10"/>
      <c r="D22" s="10"/>
      <c r="E22" s="10"/>
      <c r="F22" s="10"/>
      <c r="H22" s="11" t="s">
        <v>70</v>
      </c>
      <c r="I22" s="11"/>
      <c r="J22" s="11"/>
      <c r="K22" s="11"/>
      <c r="L22" s="11"/>
    </row>
    <row r="23" customFormat="false" ht="21.75" hidden="false" customHeight="true" outlineLevel="0" collapsed="false">
      <c r="B23" s="12" t="s">
        <v>71</v>
      </c>
      <c r="C23" s="12" t="s">
        <v>72</v>
      </c>
      <c r="D23" s="12" t="s">
        <v>73</v>
      </c>
      <c r="E23" s="12" t="s">
        <v>74</v>
      </c>
      <c r="F23" s="12" t="s">
        <v>75</v>
      </c>
      <c r="H23" s="13" t="s">
        <v>71</v>
      </c>
      <c r="I23" s="13" t="s">
        <v>72</v>
      </c>
      <c r="J23" s="13" t="s">
        <v>73</v>
      </c>
      <c r="K23" s="13" t="s">
        <v>74</v>
      </c>
      <c r="L23" s="13" t="s">
        <v>75</v>
      </c>
    </row>
    <row r="24" customFormat="false" ht="15" hidden="false" customHeight="false" outlineLevel="0" collapsed="false">
      <c r="B24" s="14" t="s">
        <v>76</v>
      </c>
      <c r="C24" s="14" t="s">
        <v>77</v>
      </c>
      <c r="D24" s="15" t="s">
        <v>78</v>
      </c>
      <c r="E24" s="15" t="s">
        <v>79</v>
      </c>
      <c r="F24" s="15" t="s">
        <v>80</v>
      </c>
      <c r="H24" s="17" t="s">
        <v>81</v>
      </c>
      <c r="I24" s="17" t="s">
        <v>82</v>
      </c>
      <c r="J24" s="18" t="s">
        <v>83</v>
      </c>
      <c r="K24" s="18" t="s">
        <v>79</v>
      </c>
      <c r="L24" s="18" t="s">
        <v>84</v>
      </c>
    </row>
    <row r="25" customFormat="false" ht="15" hidden="false" customHeight="false" outlineLevel="0" collapsed="false">
      <c r="B25" s="14" t="s">
        <v>85</v>
      </c>
      <c r="C25" s="14" t="s">
        <v>86</v>
      </c>
      <c r="D25" s="15" t="s">
        <v>83</v>
      </c>
      <c r="E25" s="15" t="s">
        <v>79</v>
      </c>
      <c r="F25" s="15" t="s">
        <v>87</v>
      </c>
      <c r="H25" s="17" t="s">
        <v>85</v>
      </c>
      <c r="I25" s="17" t="s">
        <v>86</v>
      </c>
      <c r="J25" s="18" t="s">
        <v>83</v>
      </c>
      <c r="K25" s="18" t="s">
        <v>79</v>
      </c>
      <c r="L25" s="18" t="s">
        <v>87</v>
      </c>
    </row>
    <row r="26" customFormat="false" ht="15" hidden="false" customHeight="false" outlineLevel="0" collapsed="false">
      <c r="B26" s="14" t="s">
        <v>88</v>
      </c>
      <c r="C26" s="14" t="s">
        <v>82</v>
      </c>
      <c r="D26" s="15" t="s">
        <v>78</v>
      </c>
      <c r="E26" s="15" t="s">
        <v>89</v>
      </c>
      <c r="F26" s="15" t="s">
        <v>90</v>
      </c>
      <c r="H26" s="17" t="s">
        <v>91</v>
      </c>
      <c r="I26" s="17" t="s">
        <v>77</v>
      </c>
      <c r="J26" s="18" t="s">
        <v>78</v>
      </c>
      <c r="K26" s="18" t="s">
        <v>79</v>
      </c>
      <c r="L26" s="18" t="s">
        <v>92</v>
      </c>
    </row>
    <row r="27" customFormat="false" ht="15" hidden="false" customHeight="false" outlineLevel="0" collapsed="false">
      <c r="B27" s="14" t="s">
        <v>93</v>
      </c>
      <c r="C27" s="14" t="s">
        <v>94</v>
      </c>
      <c r="D27" s="15" t="s">
        <v>95</v>
      </c>
      <c r="E27" s="15" t="s">
        <v>89</v>
      </c>
      <c r="F27" s="15" t="s">
        <v>96</v>
      </c>
      <c r="H27" s="17" t="s">
        <v>88</v>
      </c>
      <c r="I27" s="17" t="s">
        <v>82</v>
      </c>
      <c r="J27" s="18" t="s">
        <v>78</v>
      </c>
      <c r="K27" s="18" t="s">
        <v>89</v>
      </c>
      <c r="L27" s="18" t="s">
        <v>90</v>
      </c>
    </row>
    <row r="28" customFormat="false" ht="15" hidden="false" customHeight="false" outlineLevel="0" collapsed="false">
      <c r="B28" s="14" t="s">
        <v>91</v>
      </c>
      <c r="C28" s="14" t="s">
        <v>77</v>
      </c>
      <c r="D28" s="15" t="s">
        <v>78</v>
      </c>
      <c r="E28" s="15" t="s">
        <v>79</v>
      </c>
      <c r="F28" s="15" t="s">
        <v>92</v>
      </c>
      <c r="H28" s="17" t="s">
        <v>97</v>
      </c>
      <c r="I28" s="17" t="s">
        <v>94</v>
      </c>
      <c r="J28" s="18" t="s">
        <v>78</v>
      </c>
      <c r="K28" s="18" t="s">
        <v>79</v>
      </c>
      <c r="L28" s="18" t="s">
        <v>98</v>
      </c>
    </row>
    <row r="29" customFormat="false" ht="15" hidden="false" customHeight="false" outlineLevel="0" collapsed="false">
      <c r="B29" s="14" t="s">
        <v>99</v>
      </c>
      <c r="C29" s="14" t="s">
        <v>100</v>
      </c>
      <c r="D29" s="15" t="s">
        <v>83</v>
      </c>
      <c r="E29" s="15" t="s">
        <v>101</v>
      </c>
      <c r="F29" s="15" t="s">
        <v>102</v>
      </c>
      <c r="H29" s="17" t="s">
        <v>76</v>
      </c>
      <c r="I29" s="17" t="s">
        <v>77</v>
      </c>
      <c r="J29" s="18" t="s">
        <v>78</v>
      </c>
      <c r="K29" s="18" t="s">
        <v>79</v>
      </c>
      <c r="L29" s="18" t="s">
        <v>80</v>
      </c>
    </row>
    <row r="30" customFormat="false" ht="15" hidden="false" customHeight="false" outlineLevel="0" collapsed="false">
      <c r="B30" s="14" t="s">
        <v>103</v>
      </c>
      <c r="C30" s="14" t="s">
        <v>86</v>
      </c>
      <c r="D30" s="15" t="s">
        <v>78</v>
      </c>
      <c r="E30" s="15" t="s">
        <v>89</v>
      </c>
      <c r="F30" s="15" t="s">
        <v>104</v>
      </c>
      <c r="H30" s="17" t="s">
        <v>99</v>
      </c>
      <c r="I30" s="17" t="s">
        <v>100</v>
      </c>
      <c r="J30" s="18" t="s">
        <v>83</v>
      </c>
      <c r="K30" s="18" t="s">
        <v>101</v>
      </c>
      <c r="L30" s="18" t="s">
        <v>102</v>
      </c>
    </row>
    <row r="31" customFormat="false" ht="15" hidden="false" customHeight="false" outlineLevel="0" collapsed="false">
      <c r="B31" s="14" t="s">
        <v>81</v>
      </c>
      <c r="C31" s="14" t="s">
        <v>82</v>
      </c>
      <c r="D31" s="15" t="s">
        <v>83</v>
      </c>
      <c r="E31" s="15" t="s">
        <v>79</v>
      </c>
      <c r="F31" s="15" t="s">
        <v>84</v>
      </c>
      <c r="H31" s="17" t="s">
        <v>93</v>
      </c>
      <c r="I31" s="17" t="s">
        <v>94</v>
      </c>
      <c r="J31" s="18" t="s">
        <v>95</v>
      </c>
      <c r="K31" s="18" t="s">
        <v>89</v>
      </c>
      <c r="L31" s="18" t="s">
        <v>96</v>
      </c>
    </row>
    <row r="32" customFormat="false" ht="15" hidden="false" customHeight="false" outlineLevel="0" collapsed="false">
      <c r="B32" s="14" t="s">
        <v>97</v>
      </c>
      <c r="C32" s="14" t="s">
        <v>94</v>
      </c>
      <c r="D32" s="15" t="s">
        <v>78</v>
      </c>
      <c r="E32" s="15" t="s">
        <v>79</v>
      </c>
      <c r="F32" s="15" t="s">
        <v>98</v>
      </c>
      <c r="H32" s="17" t="s">
        <v>105</v>
      </c>
      <c r="I32" s="17" t="s">
        <v>100</v>
      </c>
      <c r="J32" s="18" t="s">
        <v>83</v>
      </c>
      <c r="K32" s="18" t="s">
        <v>101</v>
      </c>
      <c r="L32" s="18" t="s">
        <v>106</v>
      </c>
    </row>
    <row r="33" customFormat="false" ht="15" hidden="false" customHeight="false" outlineLevel="0" collapsed="false">
      <c r="B33" s="14" t="s">
        <v>105</v>
      </c>
      <c r="C33" s="14" t="s">
        <v>100</v>
      </c>
      <c r="D33" s="15" t="s">
        <v>83</v>
      </c>
      <c r="E33" s="15" t="s">
        <v>101</v>
      </c>
      <c r="F33" s="15" t="s">
        <v>106</v>
      </c>
      <c r="H33" s="17" t="s">
        <v>103</v>
      </c>
      <c r="I33" s="17" t="s">
        <v>86</v>
      </c>
      <c r="J33" s="18" t="s">
        <v>78</v>
      </c>
      <c r="K33" s="18" t="s">
        <v>89</v>
      </c>
      <c r="L33" s="18" t="s">
        <v>104</v>
      </c>
    </row>
    <row r="35" customFormat="false" ht="39.75" hidden="false" customHeight="true" outlineLevel="0" collapsed="false">
      <c r="B35" s="20" t="s">
        <v>107</v>
      </c>
      <c r="C35" s="20"/>
      <c r="D35" s="20"/>
      <c r="E35" s="20"/>
      <c r="F35" s="20"/>
      <c r="G35" s="20"/>
      <c r="H35" s="20"/>
      <c r="I35" s="20"/>
      <c r="J35" s="20"/>
      <c r="K35" s="20"/>
      <c r="L35" s="20"/>
    </row>
    <row r="37" customFormat="false" ht="24" hidden="false" customHeight="true" outlineLevel="0" collapsed="false">
      <c r="B37" s="9" t="s">
        <v>108</v>
      </c>
      <c r="C37" s="9"/>
      <c r="D37" s="9"/>
      <c r="E37" s="9"/>
      <c r="F37" s="9"/>
      <c r="G37" s="9"/>
      <c r="H37" s="9"/>
      <c r="I37" s="9"/>
      <c r="J37" s="9"/>
      <c r="K37" s="9"/>
      <c r="L37" s="9"/>
    </row>
    <row r="38" customFormat="false" ht="49.5" hidden="false" customHeight="true" outlineLevel="0" collapsed="false">
      <c r="B38" s="20" t="s">
        <v>109</v>
      </c>
      <c r="C38" s="20"/>
      <c r="D38" s="20"/>
      <c r="E38" s="20"/>
      <c r="F38" s="20"/>
      <c r="G38" s="20"/>
      <c r="H38" s="20"/>
      <c r="I38" s="20"/>
      <c r="J38" s="20"/>
      <c r="K38" s="20"/>
      <c r="L38" s="20"/>
    </row>
  </sheetData>
  <mergeCells count="12">
    <mergeCell ref="A1:L2"/>
    <mergeCell ref="A3:L3"/>
    <mergeCell ref="B5:L5"/>
    <mergeCell ref="B6:F6"/>
    <mergeCell ref="H6:L6"/>
    <mergeCell ref="B19:L19"/>
    <mergeCell ref="B21:L21"/>
    <mergeCell ref="B22:F22"/>
    <mergeCell ref="H22:L22"/>
    <mergeCell ref="B35:L35"/>
    <mergeCell ref="B37:L37"/>
    <mergeCell ref="B38:L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14"/>
    <col collapsed="false" customWidth="true" hidden="false" outlineLevel="0" max="4" min="4" style="1" width="20"/>
    <col collapsed="false" customWidth="true" hidden="false" outlineLevel="0" max="5" min="5" style="1" width="16"/>
    <col collapsed="false" customWidth="true" hidden="false" outlineLevel="0" max="6" min="6" style="1" width="13"/>
    <col collapsed="false" customWidth="true" hidden="false" outlineLevel="0" max="7" min="7" style="1" width="12"/>
    <col collapsed="false" customWidth="true" hidden="false" outlineLevel="0" max="8" min="8" style="1" width="22"/>
  </cols>
  <sheetData>
    <row r="1" customFormat="false" ht="27.75" hidden="false" customHeight="true" outlineLevel="0" collapsed="false">
      <c r="A1" s="21" t="s">
        <v>110</v>
      </c>
      <c r="B1" s="21" t="s">
        <v>111</v>
      </c>
      <c r="C1" s="21" t="s">
        <v>112</v>
      </c>
      <c r="D1" s="21" t="s">
        <v>113</v>
      </c>
      <c r="E1" s="21" t="s">
        <v>114</v>
      </c>
      <c r="F1" s="21" t="s">
        <v>115</v>
      </c>
      <c r="G1" s="21" t="s">
        <v>116</v>
      </c>
      <c r="H1" s="21" t="s">
        <v>117</v>
      </c>
    </row>
    <row r="2" customFormat="false" ht="15" hidden="false" customHeight="true" outlineLevel="0" collapsed="false">
      <c r="A2" s="22" t="s">
        <v>118</v>
      </c>
      <c r="B2" s="22" t="s">
        <v>119</v>
      </c>
      <c r="C2" s="22" t="s">
        <v>120</v>
      </c>
      <c r="D2" s="22" t="s">
        <v>121</v>
      </c>
      <c r="E2" s="22" t="s">
        <v>122</v>
      </c>
      <c r="F2" s="23" t="n">
        <v>44291</v>
      </c>
      <c r="G2" s="24" t="n">
        <v>102000</v>
      </c>
      <c r="H2" s="22" t="s">
        <v>123</v>
      </c>
    </row>
    <row r="3" customFormat="false" ht="15" hidden="false" customHeight="true" outlineLevel="0" collapsed="false">
      <c r="A3" s="22" t="s">
        <v>124</v>
      </c>
      <c r="B3" s="22" t="s">
        <v>125</v>
      </c>
      <c r="C3" s="22" t="s">
        <v>126</v>
      </c>
      <c r="D3" s="22" t="s">
        <v>121</v>
      </c>
      <c r="E3" s="22" t="s">
        <v>122</v>
      </c>
      <c r="F3" s="23" t="n">
        <v>43103</v>
      </c>
      <c r="G3" s="24" t="n">
        <v>68000</v>
      </c>
      <c r="H3" s="22" t="s">
        <v>123</v>
      </c>
    </row>
    <row r="4" customFormat="false" ht="15" hidden="false" customHeight="true" outlineLevel="0" collapsed="false">
      <c r="A4" s="22" t="s">
        <v>127</v>
      </c>
      <c r="B4" s="22" t="s">
        <v>128</v>
      </c>
      <c r="C4" s="22" t="s">
        <v>129</v>
      </c>
      <c r="D4" s="22" t="s">
        <v>130</v>
      </c>
      <c r="E4" s="22" t="s">
        <v>131</v>
      </c>
      <c r="F4" s="23" t="n">
        <v>45481</v>
      </c>
      <c r="G4" s="24" t="n">
        <v>78000</v>
      </c>
      <c r="H4" s="22" t="s">
        <v>132</v>
      </c>
    </row>
    <row r="5" customFormat="false" ht="15" hidden="false" customHeight="true" outlineLevel="0" collapsed="false">
      <c r="A5" s="22" t="s">
        <v>133</v>
      </c>
      <c r="B5" s="22" t="s">
        <v>134</v>
      </c>
      <c r="C5" s="22" t="s">
        <v>135</v>
      </c>
      <c r="D5" s="22" t="s">
        <v>136</v>
      </c>
      <c r="E5" s="22" t="s">
        <v>137</v>
      </c>
      <c r="F5" s="23" t="n">
        <v>45086</v>
      </c>
      <c r="G5" s="24" t="n">
        <v>51000</v>
      </c>
      <c r="H5" s="22" t="s">
        <v>123</v>
      </c>
    </row>
    <row r="6" customFormat="false" ht="15" hidden="false" customHeight="true" outlineLevel="0" collapsed="false">
      <c r="A6" s="22" t="s">
        <v>138</v>
      </c>
      <c r="B6" s="22" t="s">
        <v>139</v>
      </c>
      <c r="C6" s="22" t="s">
        <v>140</v>
      </c>
      <c r="D6" s="22" t="s">
        <v>121</v>
      </c>
      <c r="E6" s="22" t="s">
        <v>131</v>
      </c>
      <c r="F6" s="23" t="n">
        <v>43644</v>
      </c>
      <c r="G6" s="24" t="n">
        <v>77000</v>
      </c>
      <c r="H6" s="22" t="s">
        <v>132</v>
      </c>
    </row>
    <row r="7" customFormat="false" ht="15" hidden="false" customHeight="true" outlineLevel="0" collapsed="false">
      <c r="A7" s="22" t="s">
        <v>141</v>
      </c>
      <c r="B7" s="22" t="s">
        <v>134</v>
      </c>
      <c r="C7" s="22" t="s">
        <v>142</v>
      </c>
      <c r="D7" s="22" t="s">
        <v>143</v>
      </c>
      <c r="E7" s="22" t="s">
        <v>122</v>
      </c>
      <c r="F7" s="23" t="n">
        <v>43649</v>
      </c>
      <c r="G7" s="24" t="n">
        <v>85000</v>
      </c>
      <c r="H7" s="22" t="s">
        <v>132</v>
      </c>
    </row>
    <row r="8" customFormat="false" ht="15" hidden="false" customHeight="true" outlineLevel="0" collapsed="false">
      <c r="A8" s="22" t="s">
        <v>144</v>
      </c>
      <c r="B8" s="22" t="s">
        <v>119</v>
      </c>
      <c r="C8" s="22" t="s">
        <v>145</v>
      </c>
      <c r="D8" s="22" t="s">
        <v>136</v>
      </c>
      <c r="E8" s="22" t="s">
        <v>131</v>
      </c>
      <c r="F8" s="23" t="n">
        <v>44533</v>
      </c>
      <c r="G8" s="24" t="n">
        <v>44000</v>
      </c>
      <c r="H8" s="22" t="s">
        <v>132</v>
      </c>
    </row>
    <row r="9" customFormat="false" ht="15" hidden="false" customHeight="true" outlineLevel="0" collapsed="false">
      <c r="A9" s="22" t="s">
        <v>146</v>
      </c>
      <c r="B9" s="22" t="s">
        <v>147</v>
      </c>
      <c r="C9" s="22" t="s">
        <v>148</v>
      </c>
      <c r="D9" s="22" t="s">
        <v>121</v>
      </c>
      <c r="E9" s="22" t="s">
        <v>137</v>
      </c>
      <c r="F9" s="23" t="n">
        <v>43655</v>
      </c>
      <c r="G9" s="24" t="n">
        <v>84000</v>
      </c>
      <c r="H9" s="22" t="s">
        <v>132</v>
      </c>
    </row>
    <row r="10" customFormat="false" ht="15" hidden="false" customHeight="true" outlineLevel="0" collapsed="false">
      <c r="A10" s="22" t="s">
        <v>149</v>
      </c>
      <c r="B10" s="22" t="s">
        <v>150</v>
      </c>
      <c r="C10" s="22" t="s">
        <v>151</v>
      </c>
      <c r="D10" s="22" t="s">
        <v>152</v>
      </c>
      <c r="E10" s="22" t="s">
        <v>131</v>
      </c>
      <c r="F10" s="23" t="n">
        <v>44917</v>
      </c>
      <c r="G10" s="24" t="n">
        <v>96000</v>
      </c>
      <c r="H10" s="22" t="s">
        <v>123</v>
      </c>
    </row>
    <row r="11" customFormat="false" ht="15" hidden="false" customHeight="true" outlineLevel="0" collapsed="false">
      <c r="A11" s="22" t="s">
        <v>153</v>
      </c>
      <c r="B11" s="22" t="s">
        <v>119</v>
      </c>
      <c r="C11" s="22" t="s">
        <v>151</v>
      </c>
      <c r="D11" s="22" t="s">
        <v>130</v>
      </c>
      <c r="E11" s="22" t="s">
        <v>122</v>
      </c>
      <c r="F11" s="23" t="n">
        <v>44056</v>
      </c>
      <c r="G11" s="24" t="n">
        <v>67000</v>
      </c>
      <c r="H11" s="22" t="s">
        <v>154</v>
      </c>
    </row>
    <row r="12" customFormat="false" ht="15" hidden="false" customHeight="true" outlineLevel="0" collapsed="false">
      <c r="A12" s="22" t="s">
        <v>155</v>
      </c>
      <c r="B12" s="22" t="s">
        <v>119</v>
      </c>
      <c r="C12" s="22" t="s">
        <v>156</v>
      </c>
      <c r="D12" s="22" t="s">
        <v>130</v>
      </c>
      <c r="E12" s="22" t="s">
        <v>131</v>
      </c>
      <c r="F12" s="23" t="n">
        <v>44934</v>
      </c>
      <c r="G12" s="24" t="n">
        <v>52000</v>
      </c>
      <c r="H12" s="22" t="s">
        <v>132</v>
      </c>
    </row>
    <row r="13" customFormat="false" ht="15" hidden="false" customHeight="true" outlineLevel="0" collapsed="false">
      <c r="A13" s="22" t="s">
        <v>157</v>
      </c>
      <c r="B13" s="22" t="s">
        <v>158</v>
      </c>
      <c r="C13" s="22" t="s">
        <v>159</v>
      </c>
      <c r="D13" s="22" t="s">
        <v>121</v>
      </c>
      <c r="E13" s="22" t="s">
        <v>131</v>
      </c>
      <c r="F13" s="23" t="n">
        <v>46002</v>
      </c>
      <c r="G13" s="24" t="n">
        <v>68000</v>
      </c>
      <c r="H13" s="22" t="s">
        <v>132</v>
      </c>
    </row>
    <row r="14" customFormat="false" ht="15" hidden="false" customHeight="true" outlineLevel="0" collapsed="false">
      <c r="A14" s="22" t="s">
        <v>160</v>
      </c>
      <c r="B14" s="22" t="s">
        <v>158</v>
      </c>
      <c r="C14" s="22" t="s">
        <v>161</v>
      </c>
      <c r="D14" s="22" t="s">
        <v>162</v>
      </c>
      <c r="E14" s="22" t="s">
        <v>131</v>
      </c>
      <c r="F14" s="23" t="n">
        <v>43945</v>
      </c>
      <c r="G14" s="24" t="n">
        <v>100000</v>
      </c>
      <c r="H14" s="22" t="s">
        <v>132</v>
      </c>
    </row>
    <row r="15" customFormat="false" ht="15" hidden="false" customHeight="true" outlineLevel="0" collapsed="false">
      <c r="A15" s="22" t="s">
        <v>163</v>
      </c>
      <c r="B15" s="22" t="s">
        <v>125</v>
      </c>
      <c r="C15" s="22" t="s">
        <v>164</v>
      </c>
      <c r="D15" s="22" t="s">
        <v>162</v>
      </c>
      <c r="E15" s="22" t="s">
        <v>137</v>
      </c>
      <c r="F15" s="23" t="n">
        <v>45085</v>
      </c>
      <c r="G15" s="24" t="n">
        <v>73000</v>
      </c>
      <c r="H15" s="22" t="s">
        <v>132</v>
      </c>
    </row>
    <row r="16" customFormat="false" ht="15" hidden="false" customHeight="true" outlineLevel="0" collapsed="false">
      <c r="A16" s="22" t="s">
        <v>165</v>
      </c>
      <c r="B16" s="22" t="s">
        <v>166</v>
      </c>
      <c r="C16" s="22" t="s">
        <v>167</v>
      </c>
      <c r="D16" s="22" t="s">
        <v>121</v>
      </c>
      <c r="E16" s="22" t="s">
        <v>137</v>
      </c>
      <c r="F16" s="23" t="n">
        <v>44141</v>
      </c>
      <c r="G16" s="24" t="n">
        <v>105000</v>
      </c>
      <c r="H16" s="22" t="s">
        <v>132</v>
      </c>
    </row>
    <row r="17" customFormat="false" ht="15" hidden="false" customHeight="true" outlineLevel="0" collapsed="false">
      <c r="A17" s="22" t="s">
        <v>168</v>
      </c>
      <c r="B17" s="22" t="s">
        <v>128</v>
      </c>
      <c r="C17" s="22" t="s">
        <v>169</v>
      </c>
      <c r="D17" s="22" t="s">
        <v>162</v>
      </c>
      <c r="E17" s="22" t="s">
        <v>131</v>
      </c>
      <c r="F17" s="23" t="n">
        <v>45544</v>
      </c>
      <c r="G17" s="24" t="n">
        <v>100000</v>
      </c>
      <c r="H17" s="22" t="s">
        <v>132</v>
      </c>
    </row>
    <row r="18" customFormat="false" ht="15" hidden="false" customHeight="true" outlineLevel="0" collapsed="false">
      <c r="A18" s="22" t="s">
        <v>170</v>
      </c>
      <c r="B18" s="22" t="s">
        <v>171</v>
      </c>
      <c r="C18" s="22" t="s">
        <v>172</v>
      </c>
      <c r="D18" s="22" t="s">
        <v>143</v>
      </c>
      <c r="E18" s="22" t="s">
        <v>131</v>
      </c>
      <c r="F18" s="23" t="n">
        <v>45437</v>
      </c>
      <c r="G18" s="24" t="n">
        <v>91000</v>
      </c>
      <c r="H18" s="22" t="s">
        <v>132</v>
      </c>
    </row>
    <row r="19" customFormat="false" ht="15" hidden="false" customHeight="true" outlineLevel="0" collapsed="false">
      <c r="A19" s="22" t="s">
        <v>173</v>
      </c>
      <c r="B19" s="22" t="s">
        <v>174</v>
      </c>
      <c r="C19" s="22" t="s">
        <v>175</v>
      </c>
      <c r="D19" s="22" t="s">
        <v>176</v>
      </c>
      <c r="E19" s="22" t="s">
        <v>122</v>
      </c>
      <c r="F19" s="23" t="n">
        <v>44829</v>
      </c>
      <c r="G19" s="24" t="n">
        <v>97000</v>
      </c>
      <c r="H19" s="22" t="s">
        <v>132</v>
      </c>
    </row>
    <row r="20" customFormat="false" ht="15" hidden="false" customHeight="true" outlineLevel="0" collapsed="false">
      <c r="A20" s="22" t="s">
        <v>177</v>
      </c>
      <c r="B20" s="22" t="s">
        <v>178</v>
      </c>
      <c r="C20" s="22" t="s">
        <v>179</v>
      </c>
      <c r="D20" s="22" t="s">
        <v>152</v>
      </c>
      <c r="E20" s="22" t="s">
        <v>137</v>
      </c>
      <c r="F20" s="23" t="n">
        <v>45572</v>
      </c>
      <c r="G20" s="24" t="n">
        <v>64000</v>
      </c>
      <c r="H20" s="22" t="s">
        <v>132</v>
      </c>
    </row>
    <row r="21" customFormat="false" ht="15" hidden="false" customHeight="true" outlineLevel="0" collapsed="false">
      <c r="A21" s="22" t="s">
        <v>180</v>
      </c>
      <c r="B21" s="22" t="s">
        <v>181</v>
      </c>
      <c r="C21" s="22" t="s">
        <v>126</v>
      </c>
      <c r="D21" s="22" t="s">
        <v>136</v>
      </c>
      <c r="E21" s="22" t="s">
        <v>137</v>
      </c>
      <c r="F21" s="23" t="n">
        <v>43384</v>
      </c>
      <c r="G21" s="24" t="n">
        <v>73000</v>
      </c>
      <c r="H21" s="22" t="s">
        <v>123</v>
      </c>
    </row>
    <row r="22" customFormat="false" ht="15" hidden="false" customHeight="true" outlineLevel="0" collapsed="false">
      <c r="A22" s="22" t="s">
        <v>182</v>
      </c>
      <c r="B22" s="22" t="s">
        <v>183</v>
      </c>
      <c r="C22" s="22" t="s">
        <v>184</v>
      </c>
      <c r="D22" s="22" t="s">
        <v>136</v>
      </c>
      <c r="E22" s="22" t="s">
        <v>137</v>
      </c>
      <c r="F22" s="23" t="n">
        <v>44204</v>
      </c>
      <c r="G22" s="24" t="n">
        <v>78000</v>
      </c>
      <c r="H22" s="22" t="s">
        <v>154</v>
      </c>
    </row>
    <row r="23" customFormat="false" ht="15" hidden="false" customHeight="true" outlineLevel="0" collapsed="false">
      <c r="A23" s="22" t="s">
        <v>185</v>
      </c>
      <c r="B23" s="22" t="s">
        <v>166</v>
      </c>
      <c r="C23" s="22" t="s">
        <v>186</v>
      </c>
      <c r="D23" s="22" t="s">
        <v>162</v>
      </c>
      <c r="E23" s="22" t="s">
        <v>137</v>
      </c>
      <c r="F23" s="23" t="n">
        <v>45356</v>
      </c>
      <c r="G23" s="24" t="n">
        <v>107000</v>
      </c>
      <c r="H23" s="22" t="s">
        <v>132</v>
      </c>
    </row>
    <row r="24" customFormat="false" ht="15" hidden="false" customHeight="true" outlineLevel="0" collapsed="false">
      <c r="A24" s="22" t="s">
        <v>187</v>
      </c>
      <c r="B24" s="22" t="s">
        <v>188</v>
      </c>
      <c r="C24" s="22" t="s">
        <v>151</v>
      </c>
      <c r="D24" s="22" t="s">
        <v>152</v>
      </c>
      <c r="E24" s="22" t="s">
        <v>122</v>
      </c>
      <c r="F24" s="23" t="n">
        <v>45845</v>
      </c>
      <c r="G24" s="24" t="n">
        <v>89000</v>
      </c>
      <c r="H24" s="22" t="s">
        <v>132</v>
      </c>
    </row>
    <row r="25" customFormat="false" ht="15" hidden="false" customHeight="true" outlineLevel="0" collapsed="false">
      <c r="A25" s="22" t="s">
        <v>189</v>
      </c>
      <c r="B25" s="22" t="s">
        <v>190</v>
      </c>
      <c r="C25" s="22" t="s">
        <v>191</v>
      </c>
      <c r="D25" s="22" t="s">
        <v>143</v>
      </c>
      <c r="E25" s="22" t="s">
        <v>131</v>
      </c>
      <c r="F25" s="23" t="n">
        <v>45155</v>
      </c>
      <c r="G25" s="24" t="n">
        <v>78000</v>
      </c>
      <c r="H25" s="22" t="s">
        <v>123</v>
      </c>
    </row>
    <row r="26" customFormat="false" ht="15" hidden="false" customHeight="true" outlineLevel="0" collapsed="false">
      <c r="A26" s="22" t="s">
        <v>192</v>
      </c>
      <c r="B26" s="22" t="s">
        <v>193</v>
      </c>
      <c r="C26" s="22" t="s">
        <v>169</v>
      </c>
      <c r="D26" s="22" t="s">
        <v>152</v>
      </c>
      <c r="E26" s="22" t="s">
        <v>131</v>
      </c>
      <c r="F26" s="23" t="n">
        <v>45401</v>
      </c>
      <c r="G26" s="24" t="n">
        <v>69000</v>
      </c>
      <c r="H26" s="22" t="s">
        <v>123</v>
      </c>
    </row>
    <row r="27" customFormat="false" ht="15" hidden="false" customHeight="true" outlineLevel="0" collapsed="false">
      <c r="A27" s="22" t="s">
        <v>194</v>
      </c>
      <c r="B27" s="22" t="s">
        <v>195</v>
      </c>
      <c r="C27" s="22" t="s">
        <v>179</v>
      </c>
      <c r="D27" s="22" t="s">
        <v>121</v>
      </c>
      <c r="E27" s="22" t="s">
        <v>131</v>
      </c>
      <c r="F27" s="23" t="n">
        <v>43254</v>
      </c>
      <c r="G27" s="24" t="n">
        <v>87000</v>
      </c>
      <c r="H27" s="22" t="s">
        <v>123</v>
      </c>
    </row>
    <row r="28" customFormat="false" ht="15" hidden="false" customHeight="true" outlineLevel="0" collapsed="false">
      <c r="A28" s="22" t="s">
        <v>196</v>
      </c>
      <c r="B28" s="22" t="s">
        <v>197</v>
      </c>
      <c r="C28" s="22" t="s">
        <v>198</v>
      </c>
      <c r="D28" s="22" t="s">
        <v>176</v>
      </c>
      <c r="E28" s="22" t="s">
        <v>122</v>
      </c>
      <c r="F28" s="23" t="n">
        <v>45946</v>
      </c>
      <c r="G28" s="24" t="n">
        <v>106000</v>
      </c>
      <c r="H28" s="22" t="s">
        <v>132</v>
      </c>
    </row>
    <row r="29" customFormat="false" ht="15" hidden="false" customHeight="true" outlineLevel="0" collapsed="false">
      <c r="A29" s="22" t="s">
        <v>199</v>
      </c>
      <c r="B29" s="22" t="s">
        <v>134</v>
      </c>
      <c r="C29" s="22" t="s">
        <v>200</v>
      </c>
      <c r="D29" s="22" t="s">
        <v>176</v>
      </c>
      <c r="E29" s="22" t="s">
        <v>131</v>
      </c>
      <c r="F29" s="23" t="n">
        <v>45091</v>
      </c>
      <c r="G29" s="24" t="n">
        <v>127000</v>
      </c>
      <c r="H29" s="22" t="s">
        <v>132</v>
      </c>
    </row>
    <row r="30" customFormat="false" ht="15" hidden="false" customHeight="true" outlineLevel="0" collapsed="false">
      <c r="A30" s="22" t="s">
        <v>201</v>
      </c>
      <c r="B30" s="22" t="s">
        <v>202</v>
      </c>
      <c r="C30" s="22" t="s">
        <v>203</v>
      </c>
      <c r="D30" s="22" t="s">
        <v>143</v>
      </c>
      <c r="E30" s="22" t="s">
        <v>122</v>
      </c>
      <c r="F30" s="23" t="n">
        <v>43478</v>
      </c>
      <c r="G30" s="24" t="n">
        <v>96000</v>
      </c>
      <c r="H30" s="22" t="s">
        <v>132</v>
      </c>
    </row>
    <row r="31" customFormat="false" ht="15" hidden="false" customHeight="true" outlineLevel="0" collapsed="false">
      <c r="A31" s="22" t="s">
        <v>204</v>
      </c>
      <c r="B31" s="22" t="s">
        <v>205</v>
      </c>
      <c r="C31" s="22" t="s">
        <v>206</v>
      </c>
      <c r="D31" s="22" t="s">
        <v>176</v>
      </c>
      <c r="E31" s="22" t="s">
        <v>131</v>
      </c>
      <c r="F31" s="23" t="n">
        <v>45509</v>
      </c>
      <c r="G31" s="24" t="n">
        <v>129000</v>
      </c>
      <c r="H31" s="22" t="s">
        <v>123</v>
      </c>
    </row>
    <row r="32" customFormat="false" ht="15" hidden="false" customHeight="true" outlineLevel="0" collapsed="false">
      <c r="A32" s="22" t="s">
        <v>207</v>
      </c>
      <c r="B32" s="22" t="s">
        <v>208</v>
      </c>
      <c r="C32" s="22" t="s">
        <v>209</v>
      </c>
      <c r="D32" s="22" t="s">
        <v>136</v>
      </c>
      <c r="E32" s="22" t="s">
        <v>137</v>
      </c>
      <c r="F32" s="23" t="n">
        <v>45539</v>
      </c>
      <c r="G32" s="24" t="n">
        <v>45000</v>
      </c>
      <c r="H32" s="22" t="s">
        <v>132</v>
      </c>
    </row>
    <row r="33" customFormat="false" ht="15" hidden="false" customHeight="true" outlineLevel="0" collapsed="false">
      <c r="A33" s="22" t="s">
        <v>210</v>
      </c>
      <c r="B33" s="22" t="s">
        <v>211</v>
      </c>
      <c r="C33" s="22" t="s">
        <v>212</v>
      </c>
      <c r="D33" s="22" t="s">
        <v>121</v>
      </c>
      <c r="E33" s="22" t="s">
        <v>137</v>
      </c>
      <c r="F33" s="23" t="n">
        <v>44269</v>
      </c>
      <c r="G33" s="24" t="n">
        <v>86000</v>
      </c>
      <c r="H33" s="22" t="s">
        <v>132</v>
      </c>
    </row>
    <row r="34" customFormat="false" ht="15" hidden="false" customHeight="true" outlineLevel="0" collapsed="false">
      <c r="A34" s="22" t="s">
        <v>213</v>
      </c>
      <c r="B34" s="22" t="s">
        <v>205</v>
      </c>
      <c r="C34" s="22" t="s">
        <v>214</v>
      </c>
      <c r="D34" s="22" t="s">
        <v>121</v>
      </c>
      <c r="E34" s="22" t="s">
        <v>131</v>
      </c>
      <c r="F34" s="23" t="n">
        <v>43290</v>
      </c>
      <c r="G34" s="24" t="n">
        <v>105000</v>
      </c>
      <c r="H34" s="22" t="s">
        <v>132</v>
      </c>
    </row>
    <row r="35" customFormat="false" ht="15" hidden="false" customHeight="true" outlineLevel="0" collapsed="false">
      <c r="A35" s="22" t="s">
        <v>215</v>
      </c>
      <c r="B35" s="22" t="s">
        <v>190</v>
      </c>
      <c r="C35" s="22" t="s">
        <v>186</v>
      </c>
      <c r="D35" s="22" t="s">
        <v>136</v>
      </c>
      <c r="E35" s="22" t="s">
        <v>122</v>
      </c>
      <c r="F35" s="23" t="n">
        <v>45358</v>
      </c>
      <c r="G35" s="24" t="n">
        <v>60000</v>
      </c>
      <c r="H35" s="22" t="s">
        <v>123</v>
      </c>
    </row>
    <row r="36" customFormat="false" ht="15" hidden="false" customHeight="true" outlineLevel="0" collapsed="false">
      <c r="A36" s="22" t="s">
        <v>216</v>
      </c>
      <c r="B36" s="22" t="s">
        <v>217</v>
      </c>
      <c r="C36" s="22" t="s">
        <v>164</v>
      </c>
      <c r="D36" s="22" t="s">
        <v>143</v>
      </c>
      <c r="E36" s="22" t="s">
        <v>122</v>
      </c>
      <c r="F36" s="23" t="n">
        <v>44928</v>
      </c>
      <c r="G36" s="24" t="n">
        <v>87000</v>
      </c>
      <c r="H36" s="22" t="s">
        <v>132</v>
      </c>
    </row>
    <row r="37" customFormat="false" ht="15" hidden="false" customHeight="true" outlineLevel="0" collapsed="false">
      <c r="A37" s="22" t="s">
        <v>218</v>
      </c>
      <c r="B37" s="22" t="s">
        <v>219</v>
      </c>
      <c r="C37" s="22" t="s">
        <v>220</v>
      </c>
      <c r="D37" s="22" t="s">
        <v>130</v>
      </c>
      <c r="E37" s="22" t="s">
        <v>131</v>
      </c>
      <c r="F37" s="23" t="n">
        <v>45350</v>
      </c>
      <c r="G37" s="24" t="n">
        <v>61000</v>
      </c>
      <c r="H37" s="22" t="s">
        <v>123</v>
      </c>
    </row>
    <row r="38" customFormat="false" ht="15" hidden="false" customHeight="true" outlineLevel="0" collapsed="false">
      <c r="A38" s="22" t="s">
        <v>221</v>
      </c>
      <c r="B38" s="22" t="s">
        <v>222</v>
      </c>
      <c r="C38" s="22" t="s">
        <v>172</v>
      </c>
      <c r="D38" s="22" t="s">
        <v>136</v>
      </c>
      <c r="E38" s="22" t="s">
        <v>131</v>
      </c>
      <c r="F38" s="23" t="n">
        <v>43746</v>
      </c>
      <c r="G38" s="24" t="n">
        <v>44000</v>
      </c>
      <c r="H38" s="22" t="s">
        <v>132</v>
      </c>
    </row>
    <row r="39" customFormat="false" ht="15" hidden="false" customHeight="true" outlineLevel="0" collapsed="false">
      <c r="A39" s="22" t="s">
        <v>223</v>
      </c>
      <c r="B39" s="22" t="s">
        <v>224</v>
      </c>
      <c r="C39" s="22" t="s">
        <v>225</v>
      </c>
      <c r="D39" s="22" t="s">
        <v>130</v>
      </c>
      <c r="E39" s="22" t="s">
        <v>122</v>
      </c>
      <c r="F39" s="23" t="n">
        <v>45053</v>
      </c>
      <c r="G39" s="24" t="n">
        <v>92000</v>
      </c>
      <c r="H39" s="22" t="s">
        <v>132</v>
      </c>
    </row>
    <row r="40" customFormat="false" ht="15" hidden="false" customHeight="true" outlineLevel="0" collapsed="false">
      <c r="A40" s="22" t="s">
        <v>226</v>
      </c>
      <c r="B40" s="22" t="s">
        <v>227</v>
      </c>
      <c r="C40" s="22" t="s">
        <v>228</v>
      </c>
      <c r="D40" s="22" t="s">
        <v>162</v>
      </c>
      <c r="E40" s="22" t="s">
        <v>131</v>
      </c>
      <c r="F40" s="23" t="n">
        <v>44784</v>
      </c>
      <c r="G40" s="24" t="n">
        <v>124000</v>
      </c>
      <c r="H40" s="22" t="s">
        <v>132</v>
      </c>
    </row>
    <row r="41" customFormat="false" ht="15" hidden="false" customHeight="true" outlineLevel="0" collapsed="false">
      <c r="A41" s="22" t="s">
        <v>229</v>
      </c>
      <c r="B41" s="22" t="s">
        <v>222</v>
      </c>
      <c r="C41" s="22" t="s">
        <v>135</v>
      </c>
      <c r="D41" s="22" t="s">
        <v>162</v>
      </c>
      <c r="E41" s="22" t="s">
        <v>122</v>
      </c>
      <c r="F41" s="23" t="n">
        <v>45691</v>
      </c>
      <c r="G41" s="24" t="n">
        <v>99000</v>
      </c>
      <c r="H41" s="22" t="s">
        <v>123</v>
      </c>
    </row>
    <row r="42" customFormat="false" ht="15" hidden="false" customHeight="true" outlineLevel="0" collapsed="false">
      <c r="A42" s="22" t="s">
        <v>230</v>
      </c>
      <c r="B42" s="22" t="s">
        <v>209</v>
      </c>
      <c r="C42" s="22" t="s">
        <v>231</v>
      </c>
      <c r="D42" s="22" t="s">
        <v>152</v>
      </c>
      <c r="E42" s="22" t="s">
        <v>137</v>
      </c>
      <c r="F42" s="23" t="n">
        <v>44357</v>
      </c>
      <c r="G42" s="24" t="n">
        <v>65000</v>
      </c>
      <c r="H42" s="22" t="s">
        <v>132</v>
      </c>
    </row>
    <row r="43" customFormat="false" ht="15" hidden="false" customHeight="true" outlineLevel="0" collapsed="false">
      <c r="A43" s="22" t="s">
        <v>232</v>
      </c>
      <c r="B43" s="22" t="s">
        <v>211</v>
      </c>
      <c r="C43" s="22" t="s">
        <v>233</v>
      </c>
      <c r="D43" s="22" t="s">
        <v>152</v>
      </c>
      <c r="E43" s="22" t="s">
        <v>122</v>
      </c>
      <c r="F43" s="23" t="n">
        <v>45313</v>
      </c>
      <c r="G43" s="24" t="n">
        <v>90000</v>
      </c>
      <c r="H43" s="22" t="s">
        <v>132</v>
      </c>
    </row>
    <row r="44" customFormat="false" ht="15" hidden="false" customHeight="true" outlineLevel="0" collapsed="false">
      <c r="A44" s="22" t="s">
        <v>234</v>
      </c>
      <c r="B44" s="22" t="s">
        <v>197</v>
      </c>
      <c r="C44" s="22" t="s">
        <v>206</v>
      </c>
      <c r="D44" s="22" t="s">
        <v>176</v>
      </c>
      <c r="E44" s="22" t="s">
        <v>131</v>
      </c>
      <c r="F44" s="23" t="n">
        <v>43817</v>
      </c>
      <c r="G44" s="24" t="n">
        <v>94000</v>
      </c>
      <c r="H44" s="22" t="s">
        <v>132</v>
      </c>
    </row>
    <row r="45" customFormat="false" ht="15" hidden="false" customHeight="true" outlineLevel="0" collapsed="false">
      <c r="A45" s="22" t="s">
        <v>235</v>
      </c>
      <c r="B45" s="22" t="s">
        <v>128</v>
      </c>
      <c r="C45" s="22" t="s">
        <v>236</v>
      </c>
      <c r="D45" s="22" t="s">
        <v>143</v>
      </c>
      <c r="E45" s="22" t="s">
        <v>131</v>
      </c>
      <c r="F45" s="23" t="n">
        <v>44820</v>
      </c>
      <c r="G45" s="24" t="n">
        <v>66000</v>
      </c>
      <c r="H45" s="22" t="s">
        <v>154</v>
      </c>
    </row>
    <row r="46" customFormat="false" ht="15" hidden="false" customHeight="true" outlineLevel="0" collapsed="false">
      <c r="A46" s="22" t="s">
        <v>237</v>
      </c>
      <c r="B46" s="22" t="s">
        <v>238</v>
      </c>
      <c r="C46" s="22" t="s">
        <v>203</v>
      </c>
      <c r="D46" s="22" t="s">
        <v>121</v>
      </c>
      <c r="E46" s="22" t="s">
        <v>122</v>
      </c>
      <c r="F46" s="23" t="n">
        <v>44562</v>
      </c>
      <c r="G46" s="24" t="n">
        <v>76000</v>
      </c>
      <c r="H46" s="22" t="s">
        <v>132</v>
      </c>
    </row>
    <row r="47" customFormat="false" ht="15" hidden="false" customHeight="true" outlineLevel="0" collapsed="false">
      <c r="A47" s="22" t="s">
        <v>239</v>
      </c>
      <c r="B47" s="22" t="s">
        <v>119</v>
      </c>
      <c r="C47" s="22" t="s">
        <v>228</v>
      </c>
      <c r="D47" s="22" t="s">
        <v>176</v>
      </c>
      <c r="E47" s="22" t="s">
        <v>122</v>
      </c>
      <c r="F47" s="23" t="n">
        <v>45640</v>
      </c>
      <c r="G47" s="24" t="n">
        <v>76000</v>
      </c>
      <c r="H47" s="22" t="s">
        <v>123</v>
      </c>
    </row>
    <row r="48" customFormat="false" ht="15" hidden="false" customHeight="true" outlineLevel="0" collapsed="false">
      <c r="A48" s="22" t="s">
        <v>240</v>
      </c>
      <c r="B48" s="22" t="s">
        <v>241</v>
      </c>
      <c r="C48" s="22" t="s">
        <v>156</v>
      </c>
      <c r="D48" s="22" t="s">
        <v>176</v>
      </c>
      <c r="E48" s="22" t="s">
        <v>122</v>
      </c>
      <c r="F48" s="23" t="n">
        <v>45217</v>
      </c>
      <c r="G48" s="24" t="n">
        <v>93000</v>
      </c>
      <c r="H48" s="22" t="s">
        <v>132</v>
      </c>
    </row>
    <row r="49" customFormat="false" ht="15" hidden="false" customHeight="true" outlineLevel="0" collapsed="false">
      <c r="A49" s="22" t="s">
        <v>242</v>
      </c>
      <c r="B49" s="22" t="s">
        <v>243</v>
      </c>
      <c r="C49" s="22" t="s">
        <v>244</v>
      </c>
      <c r="D49" s="22" t="s">
        <v>152</v>
      </c>
      <c r="E49" s="22" t="s">
        <v>137</v>
      </c>
      <c r="F49" s="23" t="n">
        <v>43258</v>
      </c>
      <c r="G49" s="24" t="n">
        <v>98000</v>
      </c>
      <c r="H49" s="22" t="s">
        <v>123</v>
      </c>
    </row>
    <row r="50" customFormat="false" ht="15" hidden="false" customHeight="true" outlineLevel="0" collapsed="false">
      <c r="A50" s="22" t="s">
        <v>245</v>
      </c>
      <c r="B50" s="22" t="s">
        <v>178</v>
      </c>
      <c r="C50" s="22" t="s">
        <v>246</v>
      </c>
      <c r="D50" s="22" t="s">
        <v>136</v>
      </c>
      <c r="E50" s="22" t="s">
        <v>122</v>
      </c>
      <c r="F50" s="23" t="n">
        <v>45223</v>
      </c>
      <c r="G50" s="24" t="n">
        <v>51000</v>
      </c>
      <c r="H50" s="22" t="s">
        <v>154</v>
      </c>
    </row>
    <row r="51" customFormat="false" ht="15" hidden="false" customHeight="true" outlineLevel="0" collapsed="false">
      <c r="A51" s="22" t="s">
        <v>247</v>
      </c>
      <c r="B51" s="22" t="s">
        <v>227</v>
      </c>
      <c r="C51" s="22" t="s">
        <v>151</v>
      </c>
      <c r="D51" s="22" t="s">
        <v>136</v>
      </c>
      <c r="E51" s="22" t="s">
        <v>137</v>
      </c>
      <c r="F51" s="23" t="n">
        <v>44932</v>
      </c>
      <c r="G51" s="24" t="n">
        <v>63000</v>
      </c>
      <c r="H51" s="22" t="s">
        <v>132</v>
      </c>
    </row>
    <row r="52" customFormat="false" ht="15" hidden="false" customHeight="true" outlineLevel="0" collapsed="false">
      <c r="A52" s="22" t="s">
        <v>248</v>
      </c>
      <c r="B52" s="22" t="s">
        <v>224</v>
      </c>
      <c r="C52" s="22" t="s">
        <v>249</v>
      </c>
      <c r="D52" s="22" t="s">
        <v>143</v>
      </c>
      <c r="E52" s="22" t="s">
        <v>137</v>
      </c>
      <c r="F52" s="23" t="n">
        <v>44322</v>
      </c>
      <c r="G52" s="24" t="n">
        <v>100000</v>
      </c>
      <c r="H52" s="22" t="s">
        <v>132</v>
      </c>
    </row>
    <row r="53" customFormat="false" ht="15" hidden="false" customHeight="true" outlineLevel="0" collapsed="false">
      <c r="A53" s="22" t="s">
        <v>250</v>
      </c>
      <c r="B53" s="22" t="s">
        <v>251</v>
      </c>
      <c r="C53" s="22" t="s">
        <v>142</v>
      </c>
      <c r="D53" s="22" t="s">
        <v>136</v>
      </c>
      <c r="E53" s="22" t="s">
        <v>122</v>
      </c>
      <c r="F53" s="23" t="n">
        <v>44420</v>
      </c>
      <c r="G53" s="24" t="n">
        <v>61000</v>
      </c>
      <c r="H53" s="22" t="s">
        <v>132</v>
      </c>
    </row>
    <row r="54" customFormat="false" ht="15" hidden="false" customHeight="true" outlineLevel="0" collapsed="false">
      <c r="A54" s="22" t="s">
        <v>252</v>
      </c>
      <c r="B54" s="22" t="s">
        <v>205</v>
      </c>
      <c r="C54" s="22" t="s">
        <v>253</v>
      </c>
      <c r="D54" s="22" t="s">
        <v>176</v>
      </c>
      <c r="E54" s="22" t="s">
        <v>131</v>
      </c>
      <c r="F54" s="23" t="n">
        <v>44388</v>
      </c>
      <c r="G54" s="24" t="n">
        <v>110000</v>
      </c>
      <c r="H54" s="22" t="s">
        <v>132</v>
      </c>
    </row>
    <row r="55" customFormat="false" ht="15" hidden="false" customHeight="true" outlineLevel="0" collapsed="false">
      <c r="A55" s="22" t="s">
        <v>254</v>
      </c>
      <c r="B55" s="22" t="s">
        <v>147</v>
      </c>
      <c r="C55" s="22" t="s">
        <v>159</v>
      </c>
      <c r="D55" s="22" t="s">
        <v>152</v>
      </c>
      <c r="E55" s="22" t="s">
        <v>122</v>
      </c>
      <c r="F55" s="23" t="n">
        <v>45257</v>
      </c>
      <c r="G55" s="24" t="n">
        <v>89000</v>
      </c>
      <c r="H55" s="22" t="s">
        <v>132</v>
      </c>
    </row>
    <row r="56" customFormat="false" ht="15" hidden="false" customHeight="true" outlineLevel="0" collapsed="false">
      <c r="A56" s="22" t="s">
        <v>255</v>
      </c>
      <c r="B56" s="22" t="s">
        <v>256</v>
      </c>
      <c r="C56" s="22" t="s">
        <v>120</v>
      </c>
      <c r="D56" s="22" t="s">
        <v>152</v>
      </c>
      <c r="E56" s="22" t="s">
        <v>131</v>
      </c>
      <c r="F56" s="23" t="n">
        <v>44565</v>
      </c>
      <c r="G56" s="24" t="n">
        <v>93000</v>
      </c>
      <c r="H56" s="22" t="s">
        <v>132</v>
      </c>
    </row>
    <row r="57" customFormat="false" ht="15" hidden="false" customHeight="true" outlineLevel="0" collapsed="false">
      <c r="A57" s="22" t="s">
        <v>257</v>
      </c>
      <c r="B57" s="22" t="s">
        <v>202</v>
      </c>
      <c r="C57" s="22" t="s">
        <v>258</v>
      </c>
      <c r="D57" s="22" t="s">
        <v>152</v>
      </c>
      <c r="E57" s="22" t="s">
        <v>131</v>
      </c>
      <c r="F57" s="23" t="n">
        <v>45335</v>
      </c>
      <c r="G57" s="24" t="n">
        <v>91000</v>
      </c>
      <c r="H57" s="22" t="s">
        <v>123</v>
      </c>
    </row>
    <row r="58" customFormat="false" ht="15" hidden="false" customHeight="true" outlineLevel="0" collapsed="false">
      <c r="A58" s="22" t="s">
        <v>259</v>
      </c>
      <c r="B58" s="22" t="s">
        <v>243</v>
      </c>
      <c r="C58" s="22" t="s">
        <v>233</v>
      </c>
      <c r="D58" s="22" t="s">
        <v>162</v>
      </c>
      <c r="E58" s="22" t="s">
        <v>131</v>
      </c>
      <c r="F58" s="23" t="n">
        <v>45620</v>
      </c>
      <c r="G58" s="24" t="n">
        <v>125000</v>
      </c>
      <c r="H58" s="22" t="s">
        <v>132</v>
      </c>
    </row>
    <row r="59" customFormat="false" ht="15" hidden="false" customHeight="true" outlineLevel="0" collapsed="false">
      <c r="A59" s="22" t="s">
        <v>260</v>
      </c>
      <c r="B59" s="22" t="s">
        <v>197</v>
      </c>
      <c r="C59" s="22" t="s">
        <v>191</v>
      </c>
      <c r="D59" s="22" t="s">
        <v>152</v>
      </c>
      <c r="E59" s="22" t="s">
        <v>131</v>
      </c>
      <c r="F59" s="23" t="n">
        <v>45210</v>
      </c>
      <c r="G59" s="24" t="n">
        <v>97000</v>
      </c>
      <c r="H59" s="22" t="s">
        <v>132</v>
      </c>
    </row>
    <row r="60" customFormat="false" ht="15" hidden="false" customHeight="true" outlineLevel="0" collapsed="false">
      <c r="A60" s="22" t="s">
        <v>261</v>
      </c>
      <c r="B60" s="22" t="s">
        <v>202</v>
      </c>
      <c r="C60" s="22" t="s">
        <v>244</v>
      </c>
      <c r="D60" s="22" t="s">
        <v>130</v>
      </c>
      <c r="E60" s="22" t="s">
        <v>131</v>
      </c>
      <c r="F60" s="23" t="n">
        <v>45090</v>
      </c>
      <c r="G60" s="24" t="n">
        <v>94000</v>
      </c>
      <c r="H60" s="22" t="s">
        <v>132</v>
      </c>
    </row>
    <row r="61" customFormat="false" ht="15" hidden="false" customHeight="true" outlineLevel="0" collapsed="false">
      <c r="A61" s="22" t="s">
        <v>262</v>
      </c>
      <c r="B61" s="22" t="s">
        <v>263</v>
      </c>
      <c r="C61" s="22" t="s">
        <v>191</v>
      </c>
      <c r="D61" s="22" t="s">
        <v>162</v>
      </c>
      <c r="E61" s="22" t="s">
        <v>122</v>
      </c>
      <c r="F61" s="23" t="n">
        <v>45254</v>
      </c>
      <c r="G61" s="24" t="n">
        <v>122000</v>
      </c>
      <c r="H61" s="22" t="s">
        <v>123</v>
      </c>
    </row>
  </sheetData>
  <autoFilter ref="A1:H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s>
  <sheetData>
    <row r="1" customFormat="false" ht="27.75" hidden="false" customHeight="true" outlineLevel="0" collapsed="false">
      <c r="A1" s="2" t="s">
        <v>264</v>
      </c>
      <c r="B1" s="2"/>
    </row>
    <row r="3" customFormat="false" ht="21.75" hidden="false" customHeight="true" outlineLevel="0" collapsed="false">
      <c r="B3" s="25" t="s">
        <v>265</v>
      </c>
    </row>
    <row r="5" customFormat="false" ht="15" hidden="false" customHeight="true" outlineLevel="0" collapsed="false">
      <c r="B5" s="26" t="s">
        <v>266</v>
      </c>
    </row>
    <row r="6" customFormat="false" ht="31.5" hidden="false" customHeight="true" outlineLevel="0" collapsed="false">
      <c r="B6" s="5" t="s">
        <v>267</v>
      </c>
    </row>
    <row r="8" customFormat="false" ht="15" hidden="false" customHeight="true" outlineLevel="0" collapsed="false">
      <c r="B8" s="26" t="s">
        <v>268</v>
      </c>
    </row>
    <row r="9" customFormat="false" ht="31.5" hidden="false" customHeight="true" outlineLevel="0" collapsed="false">
      <c r="B9" s="5" t="s">
        <v>269</v>
      </c>
    </row>
    <row r="10" customFormat="false" ht="17.25" hidden="false" customHeight="true" outlineLevel="0" collapsed="false">
      <c r="B10" s="27" t="n">
        <f aca="false">COUNTIF('Employee Roster'!D:D,"Sales")</f>
        <v>10</v>
      </c>
    </row>
    <row r="12" customFormat="false" ht="15" hidden="false" customHeight="true" outlineLevel="0" collapsed="false">
      <c r="B12" s="26" t="s">
        <v>270</v>
      </c>
    </row>
    <row r="13" customFormat="false" ht="31.5" hidden="false" customHeight="true" outlineLevel="0" collapsed="false">
      <c r="B13" s="5" t="s">
        <v>271</v>
      </c>
    </row>
    <row r="14" customFormat="false" ht="17.25" hidden="false" customHeight="true" outlineLevel="0" collapsed="false">
      <c r="B14" s="27" t="n">
        <f aca="false">COUNTIFS('Employee Roster'!F:F,"&gt;="&amp;DATE(2023,1,1),'Employee Roster'!F:F,"&lt;="&amp;DATE(2023,12,31))</f>
        <v>14</v>
      </c>
    </row>
    <row r="16" customFormat="false" ht="15" hidden="false" customHeight="true" outlineLevel="0" collapsed="false">
      <c r="B16" s="26" t="s">
        <v>272</v>
      </c>
    </row>
    <row r="17" customFormat="false" ht="31.5" hidden="false" customHeight="true" outlineLevel="0" collapsed="false">
      <c r="B17" s="5" t="s">
        <v>273</v>
      </c>
    </row>
    <row r="18" customFormat="false" ht="17.25" hidden="false" customHeight="true" outlineLevel="0" collapsed="false">
      <c r="B18" s="27" t="n">
        <f aca="false">COUNTIF('Employee Roster'!G:G,"&gt;75000")</f>
        <v>41</v>
      </c>
    </row>
    <row r="20" customFormat="false" ht="15" hidden="false" customHeight="true" outlineLevel="0" collapsed="false">
      <c r="B20" s="26" t="s">
        <v>274</v>
      </c>
    </row>
    <row r="21" customFormat="false" ht="31.5" hidden="false" customHeight="true" outlineLevel="0" collapsed="false">
      <c r="B21" s="5" t="s">
        <v>275</v>
      </c>
    </row>
    <row r="23" customFormat="false" ht="15" hidden="false" customHeight="true" outlineLevel="0" collapsed="false">
      <c r="B23" s="26" t="s">
        <v>276</v>
      </c>
    </row>
    <row r="24" customFormat="false" ht="31.5" hidden="false" customHeight="true" outlineLevel="0" collapsed="false">
      <c r="B24" s="5" t="s">
        <v>277</v>
      </c>
    </row>
    <row r="25" customFormat="false" ht="17.25" hidden="false" customHeight="true" outlineLevel="0" collapsed="false">
      <c r="B25" s="27" t="n">
        <f aca="false">COUNTIF('Employee Roster'!C:C,"S*")</f>
        <v>7</v>
      </c>
    </row>
    <row r="27" customFormat="false" ht="15" hidden="false" customHeight="true" outlineLevel="0" collapsed="false">
      <c r="B27" s="26" t="s">
        <v>278</v>
      </c>
    </row>
    <row r="28" customFormat="false" ht="31.5" hidden="false" customHeight="true" outlineLevel="0" collapsed="false">
      <c r="B28" s="5" t="s">
        <v>279</v>
      </c>
    </row>
    <row r="29" customFormat="false" ht="17.25" hidden="false" customHeight="true" outlineLevel="0" collapsed="false">
      <c r="B29" s="27" t="n">
        <f aca="false">COUNTIFS('Employee Roster'!D:D,"Engineering",'Employee Roster'!E:E,"Remote")</f>
        <v>4</v>
      </c>
    </row>
    <row r="31" customFormat="false" ht="15" hidden="false" customHeight="true" outlineLevel="0" collapsed="false">
      <c r="B31" s="26" t="s">
        <v>280</v>
      </c>
    </row>
    <row r="32" customFormat="false" ht="31.5" hidden="false" customHeight="true" outlineLevel="0" collapsed="false">
      <c r="B32" s="5" t="s">
        <v>281</v>
      </c>
    </row>
    <row r="33" customFormat="false" ht="17.25" hidden="false" customHeight="true" outlineLevel="0" collapsed="false">
      <c r="B33" s="27" t="n">
        <f aca="false">COUNTIFS('Employee Roster'!H:H,"Exceeds Expectations",'Employee Roster'!G:G,"&lt;90000")</f>
        <v>9</v>
      </c>
    </row>
    <row r="35" customFormat="false" ht="49.5" hidden="false" customHeight="true" outlineLevel="0" collapsed="false">
      <c r="B35" s="25" t="s">
        <v>282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2026-05-04T19:52:14Z</dcterms:created>
  <dc:creator>openpyxl</dc:creator>
  <dc:description/>
  <dc:language>en-US</dc:language>
  <cp:lastModifiedBy/>
  <dcterms:modified xsi:type="dcterms:W3CDTF">2026-05-04T19:58:41Z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